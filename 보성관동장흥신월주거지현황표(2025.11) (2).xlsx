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00\Desktop\"/>
    </mc:Choice>
  </mc:AlternateContent>
  <xr:revisionPtr revIDLastSave="0" documentId="13_ncr:1_{26BA0661-3EFE-48D3-86BC-BF9B12332367}" xr6:coauthVersionLast="47" xr6:coauthVersionMax="47" xr10:uidLastSave="{00000000-0000-0000-0000-000000000000}"/>
  <bookViews>
    <workbookView xWindow="13305" yWindow="15" windowWidth="28470" windowHeight="15330" tabRatio="802" firstSheet="11" activeTab="11" xr2:uid="{00000000-000D-0000-FFFF-FFFF00000000}"/>
  </bookViews>
  <sheets>
    <sheet name="보성관동유적보고서계획(2022)" sheetId="9" r:id="rId1"/>
    <sheet name="보성관동유적(1-7구역)" sheetId="11" r:id="rId2"/>
    <sheet name="장흥평화리유적(1-8구역)" sheetId="12" r:id="rId3"/>
    <sheet name="Sheet1" sheetId="17" r:id="rId4"/>
    <sheet name="보성 우산리 현촌유적(1차)" sheetId="13" r:id="rId5"/>
    <sheet name="보성 우산리 현촌유적(2-4차)" sheetId="14" r:id="rId6"/>
    <sheet name="보성 택촌유적(1-2구역),두슬유적" sheetId="16" r:id="rId7"/>
    <sheet name="총합" sheetId="15" r:id="rId8"/>
    <sheet name="Sheet4(202506)" sheetId="24" r:id="rId9"/>
    <sheet name="Sheet4 (202507)" sheetId="26" r:id="rId10"/>
    <sheet name="철도구간보고서일정" sheetId="19" r:id="rId11"/>
    <sheet name="고찰준비" sheetId="30" r:id="rId12"/>
    <sheet name="Sheet2" sheetId="3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26" l="1"/>
  <c r="E94" i="26"/>
  <c r="F94" i="26"/>
  <c r="F32" i="30"/>
  <c r="E32" i="30"/>
  <c r="D32" i="30"/>
  <c r="D94" i="24"/>
  <c r="E94" i="24"/>
  <c r="F94" i="24"/>
  <c r="K94" i="26"/>
  <c r="J94" i="26"/>
  <c r="I94" i="26"/>
  <c r="H94" i="26"/>
  <c r="G94" i="26"/>
  <c r="C94" i="26"/>
  <c r="B94" i="26"/>
  <c r="B70" i="26"/>
  <c r="B64" i="26"/>
  <c r="B58" i="26"/>
  <c r="B50" i="26"/>
  <c r="E32" i="15"/>
  <c r="F32" i="15"/>
  <c r="G32" i="15"/>
  <c r="H32" i="15"/>
  <c r="I32" i="15"/>
  <c r="K94" i="24"/>
  <c r="J94" i="24"/>
  <c r="I94" i="24"/>
  <c r="H94" i="24"/>
  <c r="G94" i="24"/>
  <c r="C94" i="24"/>
  <c r="B94" i="24"/>
  <c r="B70" i="24"/>
  <c r="B64" i="24"/>
  <c r="B58" i="24"/>
  <c r="B50" i="24"/>
  <c r="D10" i="19" l="1"/>
  <c r="C10" i="19"/>
  <c r="B10" i="19"/>
  <c r="D32" i="15"/>
</calcChain>
</file>

<file path=xl/sharedStrings.xml><?xml version="1.0" encoding="utf-8"?>
<sst xmlns="http://schemas.openxmlformats.org/spreadsheetml/2006/main" count="3788" uniqueCount="1268">
  <si>
    <t>편집회의</t>
    <phoneticPr fontId="1" type="noConversion"/>
  </si>
  <si>
    <t>원고작성</t>
    <phoneticPr fontId="1" type="noConversion"/>
  </si>
  <si>
    <t>도면작업</t>
    <phoneticPr fontId="1" type="noConversion"/>
  </si>
  <si>
    <t>사진작업</t>
    <phoneticPr fontId="1" type="noConversion"/>
  </si>
  <si>
    <t>유구사진 선별</t>
    <phoneticPr fontId="1" type="noConversion"/>
  </si>
  <si>
    <t>원고수정, 보완</t>
    <phoneticPr fontId="1" type="noConversion"/>
  </si>
  <si>
    <t>전체편집</t>
    <phoneticPr fontId="1" type="noConversion"/>
  </si>
  <si>
    <t>인쇄</t>
    <phoneticPr fontId="1" type="noConversion"/>
  </si>
  <si>
    <t>정오표 작성</t>
    <phoneticPr fontId="1" type="noConversion"/>
  </si>
  <si>
    <t>발송</t>
    <phoneticPr fontId="1" type="noConversion"/>
  </si>
  <si>
    <t>유물대장작성</t>
    <phoneticPr fontId="1" type="noConversion"/>
  </si>
  <si>
    <t>시작일</t>
    <phoneticPr fontId="1" type="noConversion"/>
  </si>
  <si>
    <t>종료일</t>
    <phoneticPr fontId="1" type="noConversion"/>
  </si>
  <si>
    <t>소요기간</t>
    <phoneticPr fontId="1" type="noConversion"/>
  </si>
  <si>
    <t>담당자</t>
    <phoneticPr fontId="1" type="noConversion"/>
  </si>
  <si>
    <t>구분</t>
    <phoneticPr fontId="1" type="noConversion"/>
  </si>
  <si>
    <t>김영아</t>
    <phoneticPr fontId="1" type="noConversion"/>
  </si>
  <si>
    <t>원고도면사진 합성1차</t>
    <phoneticPr fontId="1" type="noConversion"/>
  </si>
  <si>
    <t>유구도면 수정</t>
    <phoneticPr fontId="1" type="noConversion"/>
  </si>
  <si>
    <t xml:space="preserve"> </t>
    <phoneticPr fontId="1" type="noConversion"/>
  </si>
  <si>
    <t>유물사진 누끼</t>
    <phoneticPr fontId="1" type="noConversion"/>
  </si>
  <si>
    <t>유물도면 제도,수정,편집</t>
    <phoneticPr fontId="1" type="noConversion"/>
  </si>
  <si>
    <t>유물사진 촬영</t>
    <phoneticPr fontId="1" type="noConversion"/>
  </si>
  <si>
    <t>권영인</t>
    <phoneticPr fontId="1" type="noConversion"/>
  </si>
  <si>
    <t>유구도면 제도</t>
    <phoneticPr fontId="1" type="noConversion"/>
  </si>
  <si>
    <t>유구,유물설명 보완</t>
    <phoneticPr fontId="1" type="noConversion"/>
  </si>
  <si>
    <t>컬러화보 및 재촬영</t>
    <phoneticPr fontId="1" type="noConversion"/>
  </si>
  <si>
    <t>원고도면사진 교정</t>
    <phoneticPr fontId="1" type="noConversion"/>
  </si>
  <si>
    <t>납품완료</t>
    <phoneticPr fontId="1" type="noConversion"/>
  </si>
  <si>
    <t>유물도면 실측, 수정</t>
    <phoneticPr fontId="1" type="noConversion"/>
  </si>
  <si>
    <t>실내팀</t>
    <phoneticPr fontId="1" type="noConversion"/>
  </si>
  <si>
    <t>권영인,조유량</t>
    <phoneticPr fontId="1" type="noConversion"/>
  </si>
  <si>
    <t>실내팀,김영아</t>
    <phoneticPr fontId="1" type="noConversion"/>
  </si>
  <si>
    <t>유구사진 편집</t>
    <phoneticPr fontId="1" type="noConversion"/>
  </si>
  <si>
    <t>실내팀</t>
    <phoneticPr fontId="1" type="noConversion"/>
  </si>
  <si>
    <t>보성 관동유적 발굴조사 보고서</t>
    <phoneticPr fontId="1" type="noConversion"/>
  </si>
  <si>
    <t>유물선별 및 목록</t>
    <phoneticPr fontId="1" type="noConversion"/>
  </si>
  <si>
    <t>2주예정</t>
    <phoneticPr fontId="1" type="noConversion"/>
  </si>
  <si>
    <t>유물넘버링 및 박스정리</t>
    <phoneticPr fontId="1" type="noConversion"/>
  </si>
  <si>
    <t>2022.12.</t>
    <phoneticPr fontId="1" type="noConversion"/>
  </si>
  <si>
    <t>2022. .</t>
    <phoneticPr fontId="1" type="noConversion"/>
  </si>
  <si>
    <t>2024.7.1</t>
    <phoneticPr fontId="1" type="noConversion"/>
  </si>
  <si>
    <t>2024.5.</t>
    <phoneticPr fontId="1" type="noConversion"/>
  </si>
  <si>
    <t>2022.11.</t>
    <phoneticPr fontId="1" type="noConversion"/>
  </si>
  <si>
    <t>2022. .</t>
    <phoneticPr fontId="1" type="noConversion"/>
  </si>
  <si>
    <t>2022.12.</t>
    <phoneticPr fontId="1" type="noConversion"/>
  </si>
  <si>
    <t>인쇄소 등</t>
    <phoneticPr fontId="1" type="noConversion"/>
  </si>
  <si>
    <t>2023.1.</t>
    <phoneticPr fontId="1" type="noConversion"/>
  </si>
  <si>
    <t>권영인,조유량외</t>
    <phoneticPr fontId="1" type="noConversion"/>
  </si>
  <si>
    <t>4주예정
(1일5~6기)</t>
    <phoneticPr fontId="1" type="noConversion"/>
  </si>
  <si>
    <t>2022.7.1/4</t>
    <phoneticPr fontId="1" type="noConversion"/>
  </si>
  <si>
    <t>2022.7.2/4</t>
    <phoneticPr fontId="1" type="noConversion"/>
  </si>
  <si>
    <t>2022.7.3/4</t>
    <phoneticPr fontId="1" type="noConversion"/>
  </si>
  <si>
    <t>2022.8.2/4</t>
    <phoneticPr fontId="1" type="noConversion"/>
  </si>
  <si>
    <t>2022.8.3/4</t>
    <phoneticPr fontId="1" type="noConversion"/>
  </si>
  <si>
    <t>2022.9.2/4</t>
    <phoneticPr fontId="1" type="noConversion"/>
  </si>
  <si>
    <t>2022.9.3/4</t>
    <phoneticPr fontId="1" type="noConversion"/>
  </si>
  <si>
    <t>2022.10.2/4</t>
    <phoneticPr fontId="1" type="noConversion"/>
  </si>
  <si>
    <t>큰지도및 유구배치도</t>
    <phoneticPr fontId="1" type="noConversion"/>
  </si>
  <si>
    <t>2022.10.3/4</t>
    <phoneticPr fontId="1" type="noConversion"/>
  </si>
  <si>
    <t>2022.10.4/4</t>
    <phoneticPr fontId="1" type="noConversion"/>
  </si>
  <si>
    <t>김영아외</t>
    <phoneticPr fontId="1" type="noConversion"/>
  </si>
  <si>
    <t>2022.11.1/4</t>
    <phoneticPr fontId="1" type="noConversion"/>
  </si>
  <si>
    <t>1주예정</t>
    <phoneticPr fontId="1" type="noConversion"/>
  </si>
  <si>
    <t>2022.11.1/4</t>
    <phoneticPr fontId="1" type="noConversion"/>
  </si>
  <si>
    <t>2022.11.2/4</t>
    <phoneticPr fontId="1" type="noConversion"/>
  </si>
  <si>
    <t>맺음말,고찰</t>
  </si>
  <si>
    <t>머리말 등 1,2,3장</t>
    <phoneticPr fontId="1" type="noConversion"/>
  </si>
  <si>
    <t>2022.11.3/4</t>
    <phoneticPr fontId="1" type="noConversion"/>
  </si>
  <si>
    <t>김영아외 교정자</t>
    <phoneticPr fontId="1" type="noConversion"/>
  </si>
  <si>
    <t>김영아외</t>
    <phoneticPr fontId="1" type="noConversion"/>
  </si>
  <si>
    <t>2022.11.4/4</t>
    <phoneticPr fontId="1" type="noConversion"/>
  </si>
  <si>
    <t>2022.12.4/4</t>
    <phoneticPr fontId="1" type="noConversion"/>
  </si>
  <si>
    <t>4~5주예정</t>
    <phoneticPr fontId="1" type="noConversion"/>
  </si>
  <si>
    <t>2023.1.</t>
    <phoneticPr fontId="1" type="noConversion"/>
  </si>
  <si>
    <t>실내팀</t>
    <phoneticPr fontId="1" type="noConversion"/>
  </si>
  <si>
    <t>실내팀</t>
    <phoneticPr fontId="1" type="noConversion"/>
  </si>
  <si>
    <t>확인필요</t>
    <phoneticPr fontId="1" type="noConversion"/>
  </si>
  <si>
    <t>유물선별회의필요</t>
    <phoneticPr fontId="1" type="noConversion"/>
  </si>
  <si>
    <t>1지구(삼국주거지93/수혈32/주혈2/가마2/조선분묘2), 2지구(삼국주거지18/수3/구4), 3지구(삼국주거지10/수12), 4지구(청동기주거지4/삼국주거지32/수21), 5지구(수11), 6지구(수2)</t>
    <phoneticPr fontId="1" type="noConversion"/>
  </si>
  <si>
    <t>유물설명(551)</t>
    <phoneticPr fontId="1" type="noConversion"/>
  </si>
  <si>
    <t>2022. 12.</t>
    <phoneticPr fontId="1" type="noConversion"/>
  </si>
  <si>
    <t>2022. 12.</t>
    <phoneticPr fontId="1" type="noConversion"/>
  </si>
  <si>
    <t>유구 267기</t>
    <phoneticPr fontId="1" type="noConversion"/>
  </si>
  <si>
    <t>유구설명(117기)</t>
    <phoneticPr fontId="1" type="noConversion"/>
  </si>
  <si>
    <t>주거지</t>
    <phoneticPr fontId="1" type="noConversion"/>
  </si>
  <si>
    <t>수혈</t>
    <phoneticPr fontId="1" type="noConversion"/>
  </si>
  <si>
    <t>주혈</t>
    <phoneticPr fontId="1" type="noConversion"/>
  </si>
  <si>
    <t>가마</t>
    <phoneticPr fontId="1" type="noConversion"/>
  </si>
  <si>
    <t>분묘</t>
    <phoneticPr fontId="1" type="noConversion"/>
  </si>
  <si>
    <t>삼국</t>
    <phoneticPr fontId="1" type="noConversion"/>
  </si>
  <si>
    <t>주거지</t>
    <phoneticPr fontId="1" type="noConversion"/>
  </si>
  <si>
    <t>청동기-삼국</t>
    <phoneticPr fontId="1" type="noConversion"/>
  </si>
  <si>
    <t>조선</t>
    <phoneticPr fontId="1" type="noConversion"/>
  </si>
  <si>
    <t>조선</t>
    <phoneticPr fontId="1" type="noConversion"/>
  </si>
  <si>
    <t>분묘</t>
    <phoneticPr fontId="1" type="noConversion"/>
  </si>
  <si>
    <t>구역</t>
    <phoneticPr fontId="1" type="noConversion"/>
  </si>
  <si>
    <t>시대</t>
    <phoneticPr fontId="1" type="noConversion"/>
  </si>
  <si>
    <t>유구성격</t>
    <phoneticPr fontId="1" type="noConversion"/>
  </si>
  <si>
    <t>평면</t>
    <phoneticPr fontId="1" type="noConversion"/>
  </si>
  <si>
    <t>단면</t>
    <phoneticPr fontId="1" type="noConversion"/>
  </si>
  <si>
    <t>비고</t>
    <phoneticPr fontId="1" type="noConversion"/>
  </si>
  <si>
    <t>도면</t>
    <phoneticPr fontId="1" type="noConversion"/>
  </si>
  <si>
    <t>선별</t>
    <phoneticPr fontId="1" type="noConversion"/>
  </si>
  <si>
    <t>편집</t>
    <phoneticPr fontId="1" type="noConversion"/>
  </si>
  <si>
    <t>사진</t>
    <phoneticPr fontId="1" type="noConversion"/>
  </si>
  <si>
    <t>미상</t>
    <phoneticPr fontId="1" type="noConversion"/>
  </si>
  <si>
    <t>목주열</t>
    <phoneticPr fontId="1" type="noConversion"/>
  </si>
  <si>
    <t>4-1</t>
    <phoneticPr fontId="1" type="noConversion"/>
  </si>
  <si>
    <t>4-2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</si>
  <si>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</si>
  <si>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</si>
  <si>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</si>
  <si>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</si>
  <si>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원삼국-삼국</t>
    <phoneticPr fontId="1" type="noConversion"/>
  </si>
  <si>
    <t>원삼국-삼국</t>
    <phoneticPr fontId="1" type="noConversion"/>
  </si>
  <si>
    <t>삼국-미상</t>
    <phoneticPr fontId="1" type="noConversion"/>
  </si>
  <si>
    <t>주혈군</t>
    <phoneticPr fontId="1" type="noConversion"/>
  </si>
  <si>
    <t>구상유구</t>
    <phoneticPr fontId="1" type="noConversion"/>
  </si>
  <si>
    <t>자연구</t>
    <phoneticPr fontId="1" type="noConversion"/>
  </si>
  <si>
    <t>굴립주건물지</t>
    <phoneticPr fontId="1" type="noConversion"/>
  </si>
  <si>
    <t>구상유구</t>
    <phoneticPr fontId="1" type="noConversion"/>
  </si>
  <si>
    <t>수레바퀴흔</t>
    <phoneticPr fontId="1" type="noConversion"/>
  </si>
  <si>
    <t>구상유구</t>
    <phoneticPr fontId="1" type="noConversion"/>
  </si>
  <si>
    <t>수레바퀴흔</t>
    <phoneticPr fontId="1" type="noConversion"/>
  </si>
  <si>
    <t>구상유구</t>
    <phoneticPr fontId="1" type="noConversion"/>
  </si>
  <si>
    <t>구하도</t>
    <phoneticPr fontId="1" type="noConversion"/>
  </si>
  <si>
    <t>기준토층</t>
    <phoneticPr fontId="1" type="noConversion"/>
  </si>
  <si>
    <t>일러</t>
    <phoneticPr fontId="1" type="noConversion"/>
  </si>
  <si>
    <t>유구
번호</t>
    <phoneticPr fontId="1" type="noConversion"/>
  </si>
  <si>
    <t>o</t>
  </si>
  <si>
    <t>o</t>
    <phoneticPr fontId="1" type="noConversion"/>
  </si>
  <si>
    <t>평면1,2차</t>
    <phoneticPr fontId="1" type="noConversion"/>
  </si>
  <si>
    <t>주기</t>
    <phoneticPr fontId="1" type="noConversion"/>
  </si>
  <si>
    <t>토층단면</t>
    <phoneticPr fontId="1" type="noConversion"/>
  </si>
  <si>
    <t>입면</t>
    <phoneticPr fontId="1" type="noConversion"/>
  </si>
  <si>
    <t>평면1,2차</t>
    <phoneticPr fontId="1" type="noConversion"/>
  </si>
  <si>
    <t>평면1,2차,아궁이</t>
    <phoneticPr fontId="1" type="noConversion"/>
  </si>
  <si>
    <t>평면1,2차,아궁이</t>
    <phoneticPr fontId="1" type="noConversion"/>
  </si>
  <si>
    <t>아궁이</t>
    <phoneticPr fontId="1" type="noConversion"/>
  </si>
  <si>
    <t>단축토층만 있음</t>
    <phoneticPr fontId="1" type="noConversion"/>
  </si>
  <si>
    <t>단축토층만 있음</t>
    <phoneticPr fontId="1" type="noConversion"/>
  </si>
  <si>
    <t>수혈3</t>
    <phoneticPr fontId="1" type="noConversion"/>
  </si>
  <si>
    <t>수혈4</t>
    <phoneticPr fontId="1" type="noConversion"/>
  </si>
  <si>
    <t>수혈5</t>
    <phoneticPr fontId="1" type="noConversion"/>
  </si>
  <si>
    <t>수혈1평단면</t>
    <phoneticPr fontId="1" type="noConversion"/>
  </si>
  <si>
    <t>보성관동 유적(전체 사진실측)</t>
    <phoneticPr fontId="1" type="noConversion"/>
  </si>
  <si>
    <t>4-1</t>
    <phoneticPr fontId="1" type="noConversion"/>
  </si>
  <si>
    <t>단축토층만</t>
    <phoneticPr fontId="1" type="noConversion"/>
  </si>
  <si>
    <t>아궁이단축만 있음</t>
    <phoneticPr fontId="1" type="noConversion"/>
  </si>
  <si>
    <t>수혈4호와 중복도면</t>
    <phoneticPr fontId="1" type="noConversion"/>
  </si>
  <si>
    <t>주거지7과 중복도면</t>
    <phoneticPr fontId="1" type="noConversion"/>
  </si>
  <si>
    <t>삼국
-조선</t>
    <phoneticPr fontId="1" type="noConversion"/>
  </si>
  <si>
    <t>삼국
-조선</t>
    <phoneticPr fontId="1" type="noConversion"/>
  </si>
  <si>
    <t>아궁이</t>
    <phoneticPr fontId="1" type="noConversion"/>
  </si>
  <si>
    <t>삭제</t>
    <phoneticPr fontId="1" type="noConversion"/>
  </si>
  <si>
    <t>수혈7과함께평면</t>
    <phoneticPr fontId="1" type="noConversion"/>
  </si>
  <si>
    <t>수혈6과함께평면</t>
    <phoneticPr fontId="1" type="noConversion"/>
  </si>
  <si>
    <t>절반미조사</t>
    <phoneticPr fontId="1" type="noConversion"/>
  </si>
  <si>
    <t>평면1,2차,아궁이</t>
    <phoneticPr fontId="1" type="noConversion"/>
  </si>
  <si>
    <t>청동기1주거지중복</t>
    <phoneticPr fontId="1" type="noConversion"/>
  </si>
  <si>
    <t>주거지</t>
    <phoneticPr fontId="1" type="noConversion"/>
  </si>
  <si>
    <t>청동기</t>
    <phoneticPr fontId="1" type="noConversion"/>
  </si>
  <si>
    <t>삼국</t>
    <phoneticPr fontId="1" type="noConversion"/>
  </si>
  <si>
    <t>1</t>
    <phoneticPr fontId="1" type="noConversion"/>
  </si>
  <si>
    <t>2</t>
  </si>
  <si>
    <t>2</t>
    <phoneticPr fontId="1" type="noConversion"/>
  </si>
  <si>
    <t>3</t>
  </si>
  <si>
    <t>3</t>
    <phoneticPr fontId="1" type="noConversion"/>
  </si>
  <si>
    <t>4</t>
  </si>
  <si>
    <t>4</t>
    <phoneticPr fontId="1" type="noConversion"/>
  </si>
  <si>
    <t>평면1,2차</t>
    <phoneticPr fontId="1" type="noConversion"/>
  </si>
  <si>
    <t>평면1차만</t>
    <phoneticPr fontId="1" type="noConversion"/>
  </si>
  <si>
    <t>청동기3주거지중복</t>
    <phoneticPr fontId="1" type="noConversion"/>
  </si>
  <si>
    <t>11-1</t>
    <phoneticPr fontId="1" type="noConversion"/>
  </si>
  <si>
    <t>평면1,2차,11-1함께</t>
    <phoneticPr fontId="1" type="noConversion"/>
  </si>
  <si>
    <t>11호함께</t>
    <phoneticPr fontId="1" type="noConversion"/>
  </si>
  <si>
    <t>14-1</t>
    <phoneticPr fontId="1" type="noConversion"/>
  </si>
  <si>
    <t>14와중복</t>
    <phoneticPr fontId="1" type="noConversion"/>
  </si>
  <si>
    <t>14-1과중복,수혈13평면
아궁이</t>
    <phoneticPr fontId="1" type="noConversion"/>
  </si>
  <si>
    <t>주거지14도면</t>
    <phoneticPr fontId="1" type="noConversion"/>
  </si>
  <si>
    <t>15-1</t>
    <phoneticPr fontId="1" type="noConversion"/>
  </si>
  <si>
    <t>15-2</t>
    <phoneticPr fontId="1" type="noConversion"/>
  </si>
  <si>
    <t>중복유구</t>
    <phoneticPr fontId="1" type="noConversion"/>
  </si>
  <si>
    <t>아궁이</t>
    <phoneticPr fontId="1" type="noConversion"/>
  </si>
  <si>
    <t>18-1</t>
    <phoneticPr fontId="1" type="noConversion"/>
  </si>
  <si>
    <t>18-1함께 평면</t>
    <phoneticPr fontId="1" type="noConversion"/>
  </si>
  <si>
    <t>평면2차없음</t>
    <phoneticPr fontId="1" type="noConversion"/>
  </si>
  <si>
    <t>21-1</t>
    <phoneticPr fontId="1" type="noConversion"/>
  </si>
  <si>
    <t>장축단면없음</t>
    <phoneticPr fontId="1" type="noConversion"/>
  </si>
  <si>
    <t>평면1,2,아궁이</t>
    <phoneticPr fontId="1" type="noConversion"/>
  </si>
  <si>
    <t>23-1</t>
    <phoneticPr fontId="1" type="noConversion"/>
  </si>
  <si>
    <t>단축토층없음</t>
    <phoneticPr fontId="1" type="noConversion"/>
  </si>
  <si>
    <t>∆</t>
  </si>
  <si>
    <t>x</t>
    <phoneticPr fontId="1" type="noConversion"/>
  </si>
  <si>
    <t>수혈9로표시됨</t>
    <phoneticPr fontId="1" type="noConversion"/>
  </si>
  <si>
    <t>유구일련번호</t>
    <phoneticPr fontId="1" type="noConversion"/>
  </si>
  <si>
    <t>1</t>
    <phoneticPr fontId="1" type="noConversion"/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</si>
  <si>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</si>
  <si>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</si>
  <si>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</si>
  <si>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</si>
  <si>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</si>
  <si>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</si>
  <si>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</si>
  <si>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</si>
  <si>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</si>
  <si>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</si>
  <si>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</si>
  <si>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</si>
  <si>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</si>
  <si>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</si>
  <si>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</si>
  <si>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</si>
  <si>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</si>
  <si>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</si>
  <si>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</si>
  <si>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</si>
  <si>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</si>
  <si>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</si>
  <si>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</si>
  <si>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</si>
  <si>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</si>
  <si>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</si>
  <si>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</si>
  <si>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</si>
  <si>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</si>
  <si>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</si>
  <si>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</si>
  <si>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</si>
  <si>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</si>
  <si>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</si>
  <si>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</si>
  <si>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</si>
  <si>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</si>
  <si>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</si>
  <si>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</si>
  <si>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</si>
  <si>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</si>
  <si>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</si>
  <si>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</si>
  <si>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</si>
  <si>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</si>
  <si>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</si>
  <si>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</si>
  <si>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</si>
  <si>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</si>
  <si>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</si>
  <si>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</si>
  <si>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</si>
  <si>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</si>
  <si>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</si>
  <si>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</si>
  <si>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</si>
  <si>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</si>
  <si>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</si>
  <si>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</si>
  <si>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</si>
  <si>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</si>
  <si>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</si>
  <si>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</si>
  <si>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</si>
  <si>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</si>
  <si>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</si>
  <si>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</si>
  <si>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</si>
  <si>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</si>
  <si>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</si>
  <si>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</si>
  <si>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</si>
  <si>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</si>
  <si>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</si>
  <si>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</si>
  <si>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</si>
  <si>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</si>
  <si>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</si>
  <si>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</si>
  <si>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</si>
  <si>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</si>
  <si>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</si>
  <si>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</si>
  <si>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</si>
  <si>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</si>
  <si>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</si>
  <si>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</si>
  <si>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</si>
  <si>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</si>
  <si>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주거지9에평면</t>
    <phoneticPr fontId="1" type="noConversion"/>
  </si>
  <si>
    <t>21-1에평면</t>
    <phoneticPr fontId="1" type="noConversion"/>
  </si>
  <si>
    <t>계</t>
    <phoneticPr fontId="1" type="noConversion"/>
  </si>
  <si>
    <t>2</t>
    <phoneticPr fontId="1" type="noConversion"/>
  </si>
  <si>
    <t>장흥평화리 유적 (종이도면)</t>
    <phoneticPr fontId="1" type="noConversion"/>
  </si>
  <si>
    <t>유구
번호</t>
    <phoneticPr fontId="1" type="noConversion"/>
  </si>
  <si>
    <t>O</t>
    <phoneticPr fontId="1" type="noConversion"/>
  </si>
  <si>
    <t>1차종이도면
2차사진실측</t>
    <phoneticPr fontId="1" type="noConversion"/>
  </si>
  <si>
    <t>사진실측</t>
    <phoneticPr fontId="1" type="noConversion"/>
  </si>
  <si>
    <t>기준토층</t>
    <phoneticPr fontId="1" type="noConversion"/>
  </si>
  <si>
    <t>주기추가필요</t>
    <phoneticPr fontId="1" type="noConversion"/>
  </si>
  <si>
    <t>사진실측
(단면기록있음)</t>
    <phoneticPr fontId="1" type="noConversion"/>
  </si>
  <si>
    <t>1차,2차평면</t>
    <phoneticPr fontId="1" type="noConversion"/>
  </si>
  <si>
    <t>4장병합필요</t>
    <phoneticPr fontId="1" type="noConversion"/>
  </si>
  <si>
    <t>수레바퀴③⑤로
 기록된도면이 1인듯</t>
    <phoneticPr fontId="1" type="noConversion"/>
  </si>
  <si>
    <t>주혈4,5,6</t>
    <phoneticPr fontId="1" type="noConversion"/>
  </si>
  <si>
    <t>주혈(군)</t>
    <phoneticPr fontId="1" type="noConversion"/>
  </si>
  <si>
    <t>주혈25</t>
    <phoneticPr fontId="1" type="noConversion"/>
  </si>
  <si>
    <t>주혈14,16</t>
    <phoneticPr fontId="1" type="noConversion"/>
  </si>
  <si>
    <t>주혈28,29,30</t>
    <phoneticPr fontId="1" type="noConversion"/>
  </si>
  <si>
    <t>267</t>
  </si>
  <si>
    <t>1</t>
    <phoneticPr fontId="1" type="noConversion"/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</si>
  <si>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</si>
  <si>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</si>
  <si>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</si>
  <si>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</si>
  <si>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</si>
  <si>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</si>
  <si>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</si>
  <si>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</si>
  <si>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</si>
  <si>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</si>
  <si>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</si>
  <si>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</si>
  <si>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</si>
  <si>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</si>
  <si>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</si>
  <si>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</si>
  <si>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</si>
  <si>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</si>
  <si>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</si>
  <si>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</si>
  <si>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</si>
  <si>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</si>
  <si>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</si>
  <si>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</si>
  <si>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</si>
  <si>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</si>
  <si>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</si>
  <si>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</si>
  <si>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</si>
  <si>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</si>
  <si>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</si>
  <si>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</si>
  <si>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</si>
  <si>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</si>
  <si>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</si>
  <si>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</si>
  <si>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</si>
  <si>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</si>
  <si>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</si>
  <si>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</si>
  <si>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</si>
  <si>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</si>
  <si>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</si>
  <si>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</si>
  <si>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</si>
  <si>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</si>
  <si>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</si>
  <si>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</si>
  <si>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</si>
  <si>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</si>
  <si>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</si>
  <si>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</si>
  <si>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</si>
  <si>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</si>
  <si>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</si>
  <si>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</si>
  <si>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</si>
  <si>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</si>
  <si>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</si>
  <si>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</si>
  <si>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</si>
  <si>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</si>
  <si>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</si>
  <si>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</si>
  <si>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</si>
  <si>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</si>
  <si>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</si>
  <si>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</si>
  <si>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</si>
  <si>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</si>
  <si>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</si>
  <si>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</si>
  <si>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</si>
  <si>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</si>
  <si>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</si>
  <si>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</si>
  <si>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</si>
  <si>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</si>
  <si>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</si>
  <si>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</si>
  <si>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</si>
  <si>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</si>
  <si>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</si>
  <si>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</si>
  <si>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</si>
  <si>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</si>
  <si>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</si>
  <si>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</si>
  <si>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</si>
  <si>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</si>
  <si>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</si>
  <si>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</si>
  <si>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</si>
  <si>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</si>
  <si>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</si>
  <si>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</si>
  <si>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</si>
  <si>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</si>
  <si>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</si>
  <si>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</si>
  <si>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</si>
  <si>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</si>
  <si>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</si>
  <si>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</si>
  <si>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</si>
  <si>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</si>
  <si>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</si>
  <si>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</si>
  <si>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</si>
  <si>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</si>
  <si>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</si>
  <si>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</si>
  <si>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</si>
  <si>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</si>
  <si>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</si>
  <si>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</si>
  <si>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</si>
  <si>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</si>
  <si>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</si>
  <si>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</si>
  <si>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</si>
  <si>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</si>
  <si>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</si>
  <si>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</si>
  <si>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</si>
  <si>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</si>
  <si>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</si>
  <si>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</si>
  <si>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</si>
  <si>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</si>
  <si>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</si>
  <si>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</si>
  <si>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</si>
  <si>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</si>
  <si>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</si>
  <si>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</si>
  <si>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</si>
  <si>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</si>
  <si>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</si>
  <si>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</si>
  <si>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</si>
  <si>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</si>
  <si>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</si>
  <si>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</si>
  <si>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</si>
  <si>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</si>
  <si>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</si>
  <si>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</si>
  <si>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</si>
  <si>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</si>
  <si>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</si>
  <si>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</si>
  <si>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</si>
  <si>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</si>
  <si>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</si>
  <si>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</si>
  <si>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</si>
  <si>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</si>
  <si>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</si>
  <si>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</si>
  <si>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</si>
  <si>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</si>
  <si>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</si>
  <si>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</si>
  <si>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</si>
  <si>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</si>
  <si>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</si>
  <si>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</si>
  <si>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</si>
  <si>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</si>
  <si>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</si>
  <si>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</si>
  <si>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</si>
  <si>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</si>
  <si>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O</t>
  </si>
  <si>
    <t>구상유구</t>
    <phoneticPr fontId="1" type="noConversion"/>
  </si>
  <si>
    <t>ㅡ</t>
    <phoneticPr fontId="1" type="noConversion"/>
  </si>
  <si>
    <t>구2호와같이</t>
    <phoneticPr fontId="1" type="noConversion"/>
  </si>
  <si>
    <t>수1호,구12호와같이</t>
    <phoneticPr fontId="1" type="noConversion"/>
  </si>
  <si>
    <t>주혈1-3/구8,9호와같이</t>
    <phoneticPr fontId="1" type="noConversion"/>
  </si>
  <si>
    <t>1-5호/구3과함께</t>
    <phoneticPr fontId="1" type="noConversion"/>
  </si>
  <si>
    <t>사진실측</t>
    <phoneticPr fontId="1" type="noConversion"/>
  </si>
  <si>
    <t>평면</t>
    <phoneticPr fontId="1" type="noConversion"/>
  </si>
  <si>
    <t>단면</t>
    <phoneticPr fontId="1" type="noConversion"/>
  </si>
  <si>
    <t>1차</t>
    <phoneticPr fontId="1" type="noConversion"/>
  </si>
  <si>
    <t>3장결합</t>
    <phoneticPr fontId="1" type="noConversion"/>
  </si>
  <si>
    <t>구2호와같이</t>
    <phoneticPr fontId="1" type="noConversion"/>
  </si>
  <si>
    <t>주1-2/수1호와같이</t>
    <phoneticPr fontId="1" type="noConversion"/>
  </si>
  <si>
    <t>2그리드북벽</t>
    <phoneticPr fontId="1" type="noConversion"/>
  </si>
  <si>
    <t>2그리드남벽</t>
    <phoneticPr fontId="1" type="noConversion"/>
  </si>
  <si>
    <t>3그리드북벽</t>
    <phoneticPr fontId="1" type="noConversion"/>
  </si>
  <si>
    <t>2그리드동벽</t>
    <phoneticPr fontId="1" type="noConversion"/>
  </si>
  <si>
    <t>7그리드북벽</t>
    <phoneticPr fontId="1" type="noConversion"/>
  </si>
  <si>
    <t>3그리드북벽</t>
    <phoneticPr fontId="1" type="noConversion"/>
  </si>
  <si>
    <t>3그리드서벽</t>
    <phoneticPr fontId="1" type="noConversion"/>
  </si>
  <si>
    <t>5그리드북벽</t>
    <phoneticPr fontId="1" type="noConversion"/>
  </si>
  <si>
    <t>5그리드동벽</t>
    <phoneticPr fontId="1" type="noConversion"/>
  </si>
  <si>
    <t>6그리드동벽</t>
    <phoneticPr fontId="1" type="noConversion"/>
  </si>
  <si>
    <t>X</t>
    <phoneticPr fontId="1" type="noConversion"/>
  </si>
  <si>
    <t>목주열피트북벽토층</t>
    <phoneticPr fontId="1" type="noConversion"/>
  </si>
  <si>
    <t>ㅡ</t>
    <phoneticPr fontId="1" type="noConversion"/>
  </si>
  <si>
    <t>1그리드1호목주열남쪽피트</t>
    <phoneticPr fontId="1" type="noConversion"/>
  </si>
  <si>
    <t>O O</t>
    <phoneticPr fontId="1" type="noConversion"/>
  </si>
  <si>
    <t>토층단면 2장-1호5호목주열포함</t>
    <phoneticPr fontId="1" type="noConversion"/>
  </si>
  <si>
    <t>1그리드동벽2호목주열</t>
    <phoneticPr fontId="1" type="noConversion"/>
  </si>
  <si>
    <t>7그리드1호,6호목주열</t>
    <phoneticPr fontId="1" type="noConversion"/>
  </si>
  <si>
    <t>O O</t>
    <phoneticPr fontId="1" type="noConversion"/>
  </si>
  <si>
    <t>O O</t>
    <phoneticPr fontId="1" type="noConversion"/>
  </si>
  <si>
    <t>사진과이름다름(확인필요)</t>
    <phoneticPr fontId="1" type="noConversion"/>
  </si>
  <si>
    <t>(추정)우물과저습지</t>
    <phoneticPr fontId="1" type="noConversion"/>
  </si>
  <si>
    <t>일러</t>
    <phoneticPr fontId="1" type="noConversion"/>
  </si>
  <si>
    <t>단면</t>
    <phoneticPr fontId="1" type="noConversion"/>
  </si>
  <si>
    <t>O</t>
    <phoneticPr fontId="1" type="noConversion"/>
  </si>
  <si>
    <t>주혈</t>
    <phoneticPr fontId="1" type="noConversion"/>
  </si>
  <si>
    <t>북장벽토층</t>
    <phoneticPr fontId="1" type="noConversion"/>
  </si>
  <si>
    <t>동벽토층</t>
    <phoneticPr fontId="1" type="noConversion"/>
  </si>
  <si>
    <t>목주토층1개뿐 단면사진보고 그려야함</t>
    <phoneticPr fontId="1" type="noConversion"/>
  </si>
  <si>
    <t>기준토층</t>
    <phoneticPr fontId="1" type="noConversion"/>
  </si>
  <si>
    <t>셔벽토층2</t>
    <phoneticPr fontId="1" type="noConversion"/>
  </si>
  <si>
    <t>서벽토층1</t>
    <phoneticPr fontId="1" type="noConversion"/>
  </si>
  <si>
    <t>주혈1-4</t>
    <phoneticPr fontId="1" type="noConversion"/>
  </si>
  <si>
    <t>주혈1-271/단면은20-41,60-91,94,95,99-102,128,160-182,191-194,216-221,224-226,258,259만완료</t>
    <phoneticPr fontId="1" type="noConversion"/>
  </si>
  <si>
    <t>주혈1-79/단면은1-45까지만완료</t>
    <phoneticPr fontId="1" type="noConversion"/>
  </si>
  <si>
    <t>2018.09.20</t>
    <phoneticPr fontId="1" type="noConversion"/>
  </si>
  <si>
    <t>2018.09.20</t>
    <phoneticPr fontId="1" type="noConversion"/>
  </si>
  <si>
    <t>주혈1-58</t>
    <phoneticPr fontId="1" type="noConversion"/>
  </si>
  <si>
    <t>주혈1-4</t>
    <phoneticPr fontId="1" type="noConversion"/>
  </si>
  <si>
    <t>주혈1-84/1-3,47,61-70,83,84외에종이도면모두누락됨,유구배치도로 평면은 가능그러나(단면레벨없음)</t>
    <phoneticPr fontId="1" type="noConversion"/>
  </si>
  <si>
    <t>토층
주기</t>
    <phoneticPr fontId="1" type="noConversion"/>
  </si>
  <si>
    <t># 20220801확인
1~4-1구역 ; 일러 X , 입단면 중 멈춘상태
4-2~8구역 ; 일러 O, 입단면 X</t>
    <phoneticPr fontId="1" type="noConversion"/>
  </si>
  <si>
    <t>1구역</t>
    <phoneticPr fontId="1" type="noConversion"/>
  </si>
  <si>
    <t>주거지</t>
    <phoneticPr fontId="1" type="noConversion"/>
  </si>
  <si>
    <t>분묘</t>
    <phoneticPr fontId="1" type="noConversion"/>
  </si>
  <si>
    <t>1-1~2</t>
    <phoneticPr fontId="1" type="noConversion"/>
  </si>
  <si>
    <t>건물지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</si>
  <si>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</si>
  <si>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</si>
  <si>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</si>
  <si>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</si>
  <si>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</si>
  <si>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</si>
  <si>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</si>
  <si>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</si>
  <si>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</si>
  <si>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</si>
  <si>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</si>
  <si>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수혈</t>
    <phoneticPr fontId="1" type="noConversion"/>
  </si>
  <si>
    <t>1</t>
    <phoneticPr fontId="1" type="noConversion"/>
  </si>
  <si>
    <t>3</t>
    <phoneticPr fontId="1" type="noConversion"/>
  </si>
  <si>
    <t>4</t>
    <phoneticPr fontId="1" type="noConversion"/>
  </si>
  <si>
    <t>6</t>
    <phoneticPr fontId="1" type="noConversion"/>
  </si>
  <si>
    <t>분묘</t>
    <phoneticPr fontId="1" type="noConversion"/>
  </si>
  <si>
    <t>1-1~6</t>
    <phoneticPr fontId="1" type="noConversion"/>
  </si>
  <si>
    <t>건물지내</t>
    <phoneticPr fontId="1" type="noConversion"/>
  </si>
  <si>
    <t>2-1~38, 건물지내</t>
    <phoneticPr fontId="1" type="noConversion"/>
  </si>
  <si>
    <t>건물지, 구상유구 번호확인필요</t>
    <phoneticPr fontId="1" type="noConversion"/>
  </si>
  <si>
    <t>주거지</t>
    <phoneticPr fontId="1" type="noConversion"/>
  </si>
  <si>
    <t>동벽토층</t>
    <phoneticPr fontId="1" type="noConversion"/>
  </si>
  <si>
    <t>내부수혈</t>
    <phoneticPr fontId="1" type="noConversion"/>
  </si>
  <si>
    <t>보성 우산리 현촌(1차)유적</t>
    <phoneticPr fontId="1" type="noConversion"/>
  </si>
  <si>
    <t>2차-1</t>
    <phoneticPr fontId="1" type="noConversion"/>
  </si>
  <si>
    <t>목관묘</t>
    <phoneticPr fontId="1" type="noConversion"/>
  </si>
  <si>
    <t>2</t>
    <phoneticPr fontId="1" type="noConversion"/>
  </si>
  <si>
    <t>토광묘</t>
    <phoneticPr fontId="1" type="noConversion"/>
  </si>
  <si>
    <t>4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</si>
  <si>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</si>
  <si>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</si>
  <si>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</si>
  <si>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</si>
  <si>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</si>
  <si>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</si>
  <si>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2</t>
    <phoneticPr fontId="1" type="noConversion"/>
  </si>
  <si>
    <t>1</t>
    <phoneticPr fontId="1" type="noConversion"/>
  </si>
  <si>
    <t>토광묘-고려</t>
    <phoneticPr fontId="1" type="noConversion"/>
  </si>
  <si>
    <t>토광묘-조선</t>
    <phoneticPr fontId="1" type="noConversion"/>
  </si>
  <si>
    <t>2차-2</t>
    <phoneticPr fontId="1" type="noConversion"/>
  </si>
  <si>
    <t>3차</t>
    <phoneticPr fontId="1" type="noConversion"/>
  </si>
  <si>
    <t>3차-1</t>
    <phoneticPr fontId="1" type="noConversion"/>
  </si>
  <si>
    <t>3차-2</t>
    <phoneticPr fontId="1" type="noConversion"/>
  </si>
  <si>
    <t>굴립주건물지</t>
    <phoneticPr fontId="1" type="noConversion"/>
  </si>
  <si>
    <t>적심7개</t>
    <phoneticPr fontId="1" type="noConversion"/>
  </si>
  <si>
    <t>보성 우산리 현촌(2차)유적</t>
    <phoneticPr fontId="1" type="noConversion"/>
  </si>
  <si>
    <t>보성 우산리 현촌(3차)유적</t>
    <phoneticPr fontId="1" type="noConversion"/>
  </si>
  <si>
    <t>주혈12개</t>
    <phoneticPr fontId="1" type="noConversion"/>
  </si>
  <si>
    <t>내부주혈</t>
    <phoneticPr fontId="1" type="noConversion"/>
  </si>
  <si>
    <t>구상유구</t>
    <phoneticPr fontId="1" type="noConversion"/>
  </si>
  <si>
    <t>1</t>
    <phoneticPr fontId="1" type="noConversion"/>
  </si>
  <si>
    <t>구상유구</t>
    <phoneticPr fontId="1" type="noConversion"/>
  </si>
  <si>
    <t>소성유구</t>
    <phoneticPr fontId="1" type="noConversion"/>
  </si>
  <si>
    <t>4</t>
    <phoneticPr fontId="1" type="noConversion"/>
  </si>
  <si>
    <t>6</t>
    <phoneticPr fontId="1" type="noConversion"/>
  </si>
  <si>
    <t>주혈25개</t>
    <phoneticPr fontId="1" type="noConversion"/>
  </si>
  <si>
    <t>보성 우산리 현촌(4차)유적</t>
    <phoneticPr fontId="1" type="noConversion"/>
  </si>
  <si>
    <t>보성 두슬유적</t>
    <phoneticPr fontId="1" type="noConversion"/>
  </si>
  <si>
    <t>전체 사진실측 완료 =&gt; 확인필요</t>
    <phoneticPr fontId="1" type="noConversion"/>
  </si>
  <si>
    <t>2</t>
    <phoneticPr fontId="1" type="noConversion"/>
  </si>
  <si>
    <t>보성 택촌유적</t>
    <phoneticPr fontId="1" type="noConversion"/>
  </si>
  <si>
    <t>주혈</t>
    <phoneticPr fontId="1" type="noConversion"/>
  </si>
  <si>
    <t>주혈10개</t>
    <phoneticPr fontId="1" type="noConversion"/>
  </si>
  <si>
    <t>1</t>
    <phoneticPr fontId="1" type="noConversion"/>
  </si>
  <si>
    <t>3</t>
    <phoneticPr fontId="1" type="noConversion"/>
  </si>
  <si>
    <t>소성유구</t>
    <phoneticPr fontId="1" type="noConversion"/>
  </si>
  <si>
    <t>1</t>
    <phoneticPr fontId="1" type="noConversion"/>
  </si>
  <si>
    <t>1</t>
    <phoneticPr fontId="1" type="noConversion"/>
  </si>
  <si>
    <t>3</t>
    <phoneticPr fontId="1" type="noConversion"/>
  </si>
  <si>
    <t>주혈33개</t>
    <phoneticPr fontId="1" type="noConversion"/>
  </si>
  <si>
    <t>건물지 구상유구 번호확인필요</t>
    <phoneticPr fontId="1" type="noConversion"/>
  </si>
  <si>
    <t>o</t>
    <phoneticPr fontId="1" type="noConversion"/>
  </si>
  <si>
    <t>2구역</t>
  </si>
  <si>
    <t>2구역</t>
    <phoneticPr fontId="1" type="noConversion"/>
  </si>
  <si>
    <t>3구역</t>
  </si>
  <si>
    <t>3구역</t>
    <phoneticPr fontId="1" type="noConversion"/>
  </si>
  <si>
    <t>4구역</t>
    <phoneticPr fontId="1" type="noConversion"/>
  </si>
  <si>
    <t>5구역</t>
    <phoneticPr fontId="1" type="noConversion"/>
  </si>
  <si>
    <t>6구역</t>
    <phoneticPr fontId="1" type="noConversion"/>
  </si>
  <si>
    <t>7구역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</si>
  <si>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</si>
  <si>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</si>
  <si>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</si>
  <si>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4-1구역</t>
    <phoneticPr fontId="1" type="noConversion"/>
  </si>
  <si>
    <t>4-2구역</t>
    <phoneticPr fontId="1" type="noConversion"/>
  </si>
  <si>
    <t>8구역</t>
    <phoneticPr fontId="1" type="noConversion"/>
  </si>
  <si>
    <t>3. 보성 택촌유적</t>
    <phoneticPr fontId="1" type="noConversion"/>
  </si>
  <si>
    <t>4. 보성 두슬유적</t>
    <phoneticPr fontId="1" type="noConversion"/>
  </si>
  <si>
    <t>주거지,가마,분묘</t>
    <phoneticPr fontId="1" type="noConversion"/>
  </si>
  <si>
    <t>주거지,수혈,구상유구</t>
    <phoneticPr fontId="1" type="noConversion"/>
  </si>
  <si>
    <t>유구수량</t>
    <phoneticPr fontId="1" type="noConversion"/>
  </si>
  <si>
    <t>유구종류</t>
    <phoneticPr fontId="1" type="noConversion"/>
  </si>
  <si>
    <t>주거지,수혈</t>
    <phoneticPr fontId="1" type="noConversion"/>
  </si>
  <si>
    <t>주거지,수혈</t>
    <phoneticPr fontId="1" type="noConversion"/>
  </si>
  <si>
    <t>주거지,분묘,수혈</t>
    <phoneticPr fontId="1" type="noConversion"/>
  </si>
  <si>
    <t>주거지,분묘,수혈,주혈군</t>
    <phoneticPr fontId="1" type="noConversion"/>
  </si>
  <si>
    <t>소성유구,수혈,주혈군</t>
    <phoneticPr fontId="1" type="noConversion"/>
  </si>
  <si>
    <t>굴립주,수혈,주혈군,토광묘,구상유구</t>
    <phoneticPr fontId="1" type="noConversion"/>
  </si>
  <si>
    <t>목관묘,토광묘,수혈</t>
    <phoneticPr fontId="1" type="noConversion"/>
  </si>
  <si>
    <t>수혈,주혈군</t>
    <phoneticPr fontId="1" type="noConversion"/>
  </si>
  <si>
    <t>소성유구,수혈,구상유구,주혈군</t>
    <phoneticPr fontId="1" type="noConversion"/>
  </si>
  <si>
    <t>주거지,수혈,주혈군,구상유구</t>
    <phoneticPr fontId="1" type="noConversion"/>
  </si>
  <si>
    <t>굴립주,수혈,주혈군,구상유구,수레바퀴흔</t>
    <phoneticPr fontId="1" type="noConversion"/>
  </si>
  <si>
    <t>구상유구,수레바퀴흔,주혈</t>
    <phoneticPr fontId="1" type="noConversion"/>
  </si>
  <si>
    <t>수혈,구상유구,주혈군,수레바퀴흔</t>
    <phoneticPr fontId="1" type="noConversion"/>
  </si>
  <si>
    <t>주혈군,구상유구</t>
    <phoneticPr fontId="1" type="noConversion"/>
  </si>
  <si>
    <t>수혈,주혈군,구상유구</t>
    <phoneticPr fontId="1" type="noConversion"/>
  </si>
  <si>
    <t>주거지,수혈,주혈군,구상유구,수레바퀴흔</t>
    <phoneticPr fontId="1" type="noConversion"/>
  </si>
  <si>
    <t>ㅡ</t>
    <phoneticPr fontId="1" type="noConversion"/>
  </si>
  <si>
    <t>종이도면</t>
    <phoneticPr fontId="1" type="noConversion"/>
  </si>
  <si>
    <t>유구명</t>
    <phoneticPr fontId="1" type="noConversion"/>
  </si>
  <si>
    <t>총계</t>
    <phoneticPr fontId="1" type="noConversion"/>
  </si>
  <si>
    <t>O 평면</t>
    <phoneticPr fontId="1" type="noConversion"/>
  </si>
  <si>
    <t>O 평면19 토층21</t>
    <phoneticPr fontId="1" type="noConversion"/>
  </si>
  <si>
    <t>O 평면14 토층8</t>
    <phoneticPr fontId="1" type="noConversion"/>
  </si>
  <si>
    <t>O 평면53 토층23</t>
    <phoneticPr fontId="1" type="noConversion"/>
  </si>
  <si>
    <t>O 평면11 토층0</t>
    <phoneticPr fontId="1" type="noConversion"/>
  </si>
  <si>
    <t>O 평면2 토층0</t>
    <phoneticPr fontId="1" type="noConversion"/>
  </si>
  <si>
    <t>보성-장흥 철도개설구간 내(1,3공구) 유적</t>
    <phoneticPr fontId="1" type="noConversion"/>
  </si>
  <si>
    <t>ㅡ</t>
    <phoneticPr fontId="1" type="noConversion"/>
  </si>
  <si>
    <t>동일구역
주거지,굴립주,수혈,소성유구,주혈군</t>
    <phoneticPr fontId="1" type="noConversion"/>
  </si>
  <si>
    <t>동일구역 내 1~3구역 나뉨 구석기 외
적심건물,구상유구,소성유구,수혈,주혈군</t>
    <phoneticPr fontId="1" type="noConversion"/>
  </si>
  <si>
    <t>입단면</t>
    <phoneticPr fontId="1" type="noConversion"/>
  </si>
  <si>
    <t>O 평면 토층</t>
    <phoneticPr fontId="1" type="noConversion"/>
  </si>
  <si>
    <t>O 평면  토층</t>
    <phoneticPr fontId="1" type="noConversion"/>
  </si>
  <si>
    <t>일부사진실측</t>
    <phoneticPr fontId="1" type="noConversion"/>
  </si>
  <si>
    <t>10월 11일</t>
    <phoneticPr fontId="1" type="noConversion"/>
  </si>
  <si>
    <t>일부사진실측</t>
    <phoneticPr fontId="1" type="noConversion"/>
  </si>
  <si>
    <t xml:space="preserve"> </t>
    <phoneticPr fontId="1" type="noConversion"/>
  </si>
  <si>
    <t>●</t>
  </si>
  <si>
    <t>●●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</si>
  <si>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</si>
  <si>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</si>
  <si>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</si>
  <si>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●●●</t>
    <phoneticPr fontId="1" type="noConversion"/>
  </si>
  <si>
    <t>●●</t>
    <phoneticPr fontId="1" type="noConversion"/>
  </si>
  <si>
    <t>●●●</t>
    <phoneticPr fontId="1" type="noConversion"/>
  </si>
  <si>
    <t>●●</t>
    <phoneticPr fontId="1" type="noConversion"/>
  </si>
  <si>
    <t>●●</t>
    <phoneticPr fontId="1" type="noConversion"/>
  </si>
  <si>
    <t>고려(와적)석곽묘,수혈</t>
    <phoneticPr fontId="1" type="noConversion"/>
  </si>
  <si>
    <t>5. 장흥 평화리유적
  (저습지유적)</t>
    <phoneticPr fontId="1" type="noConversion"/>
  </si>
  <si>
    <t>4차</t>
    <phoneticPr fontId="1" type="noConversion"/>
  </si>
  <si>
    <t>11월 21일</t>
    <phoneticPr fontId="1" type="noConversion"/>
  </si>
  <si>
    <t>그리드토층10,목주열,구상유구,우물</t>
    <phoneticPr fontId="1" type="noConversion"/>
  </si>
  <si>
    <t>토층,목주</t>
    <phoneticPr fontId="1" type="noConversion"/>
  </si>
  <si>
    <t>6. 장흥 북교리 신월유적(주거지)</t>
    <phoneticPr fontId="1" type="noConversion"/>
  </si>
  <si>
    <t>2. 보성 우산리 현촌유적(목관묘,토광묘)</t>
    <phoneticPr fontId="1" type="noConversion"/>
  </si>
  <si>
    <t>1. 보성 대야리 관동유적(주거지)</t>
    <phoneticPr fontId="1" type="noConversion"/>
  </si>
  <si>
    <t>12월 07일</t>
    <phoneticPr fontId="1" type="noConversion"/>
  </si>
  <si>
    <t>평면전체사진실측</t>
    <phoneticPr fontId="1" type="noConversion"/>
  </si>
  <si>
    <t>입면추가필요</t>
    <phoneticPr fontId="1" type="noConversion"/>
  </si>
  <si>
    <t>1월 2일</t>
    <phoneticPr fontId="1" type="noConversion"/>
  </si>
  <si>
    <t>보성-장흥간 철도개설구간내 발굴조사 보고서</t>
    <phoneticPr fontId="1" type="noConversion"/>
  </si>
  <si>
    <t>2. 보성 우산리 택촌유적</t>
    <phoneticPr fontId="1" type="noConversion"/>
  </si>
  <si>
    <t>3. 보성 옥평리 두슬유적</t>
    <phoneticPr fontId="1" type="noConversion"/>
  </si>
  <si>
    <t>4. 보성 대야리 관동유적</t>
    <phoneticPr fontId="1" type="noConversion"/>
  </si>
  <si>
    <t>6. 장흥 북교리 신월유적</t>
    <phoneticPr fontId="1" type="noConversion"/>
  </si>
  <si>
    <t>7. 장흥 평화리 평화유적</t>
    <phoneticPr fontId="1" type="noConversion"/>
  </si>
  <si>
    <t>1. 보성 우산리 현촌유적</t>
    <phoneticPr fontId="1" type="noConversion"/>
  </si>
  <si>
    <t>유구도면
(2인기준)</t>
    <phoneticPr fontId="1" type="noConversion"/>
  </si>
  <si>
    <t>계</t>
    <phoneticPr fontId="1" type="noConversion"/>
  </si>
  <si>
    <t>유구
수량</t>
    <phoneticPr fontId="1" type="noConversion"/>
  </si>
  <si>
    <t>원고기술
(고찰포함)</t>
    <phoneticPr fontId="1" type="noConversion"/>
  </si>
  <si>
    <t>유구기술만
(1일3기)</t>
    <phoneticPr fontId="1" type="noConversion"/>
  </si>
  <si>
    <t>총계변화</t>
    <phoneticPr fontId="1" type="noConversion"/>
  </si>
  <si>
    <t>사진
선별</t>
    <phoneticPr fontId="1" type="noConversion"/>
  </si>
  <si>
    <t>×</t>
  </si>
  <si>
    <t>5. 장흥 배산리 유물산포지 시굴조사(유구없음. 시굴보고서만)</t>
    <phoneticPr fontId="1" type="noConversion"/>
  </si>
  <si>
    <t>원고</t>
    <phoneticPr fontId="1" type="noConversion"/>
  </si>
  <si>
    <t>고찰</t>
    <phoneticPr fontId="1" type="noConversion"/>
  </si>
  <si>
    <t>일러도면</t>
    <phoneticPr fontId="1" type="noConversion"/>
  </si>
  <si>
    <t>1월16일</t>
    <phoneticPr fontId="1" type="noConversion"/>
  </si>
  <si>
    <t>ㅡ</t>
    <phoneticPr fontId="1" type="noConversion"/>
  </si>
  <si>
    <t>8월</t>
    <phoneticPr fontId="1" type="noConversion"/>
  </si>
  <si>
    <t>유구입단면(권영인,조유량)</t>
    <phoneticPr fontId="1" type="noConversion"/>
  </si>
  <si>
    <t>7월</t>
    <phoneticPr fontId="1" type="noConversion"/>
  </si>
  <si>
    <t>담당</t>
    <phoneticPr fontId="1" type="noConversion"/>
  </si>
  <si>
    <t>ㅡ(일러X)</t>
    <phoneticPr fontId="1" type="noConversion"/>
  </si>
  <si>
    <t>6월</t>
    <phoneticPr fontId="1" type="noConversion"/>
  </si>
  <si>
    <t>2월21일
남원보고서</t>
    <phoneticPr fontId="1" type="noConversion"/>
  </si>
  <si>
    <t>12월14일
마감</t>
    <phoneticPr fontId="1" type="noConversion"/>
  </si>
  <si>
    <t>1월3일
연구조사발표회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</si>
  <si>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</si>
  <si>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</si>
  <si>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</si>
  <si>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유적명</t>
    <phoneticPr fontId="1" type="noConversion"/>
  </si>
  <si>
    <t>9구역</t>
    <phoneticPr fontId="1" type="noConversion"/>
  </si>
  <si>
    <t>10구역</t>
    <phoneticPr fontId="1" type="noConversion"/>
  </si>
  <si>
    <t>5월</t>
    <phoneticPr fontId="1" type="noConversion"/>
  </si>
  <si>
    <t>3월</t>
    <phoneticPr fontId="1" type="noConversion"/>
  </si>
  <si>
    <t>4월</t>
    <phoneticPr fontId="1" type="noConversion"/>
  </si>
  <si>
    <t>12월</t>
    <phoneticPr fontId="1" type="noConversion"/>
  </si>
  <si>
    <t>4. 작업 진행계획</t>
    <phoneticPr fontId="1" type="noConversion"/>
  </si>
  <si>
    <t>단계</t>
    <phoneticPr fontId="1" type="noConversion"/>
  </si>
  <si>
    <t>작업내용</t>
  </si>
  <si>
    <t>작 업 기 간</t>
  </si>
  <si>
    <t>비고
(담당)</t>
    <phoneticPr fontId="1" type="noConversion"/>
  </si>
  <si>
    <t>5/15~5/30</t>
    <phoneticPr fontId="1" type="noConversion"/>
  </si>
  <si>
    <t>6/1~6/15</t>
    <phoneticPr fontId="1" type="noConversion"/>
  </si>
  <si>
    <t>6/16~6/30</t>
    <phoneticPr fontId="1" type="noConversion"/>
  </si>
  <si>
    <t>7/1~7/15</t>
    <phoneticPr fontId="1" type="noConversion"/>
  </si>
  <si>
    <t>7/16~7/31</t>
    <phoneticPr fontId="1" type="noConversion"/>
  </si>
  <si>
    <t>8/1~8/15</t>
    <phoneticPr fontId="1" type="noConversion"/>
  </si>
  <si>
    <t>8/16~8/31</t>
    <phoneticPr fontId="1" type="noConversion"/>
  </si>
  <si>
    <t>9/1~9/15</t>
    <phoneticPr fontId="1" type="noConversion"/>
  </si>
  <si>
    <t>9/16~9/30</t>
    <phoneticPr fontId="1" type="noConversion"/>
  </si>
  <si>
    <t>10/1~10/15</t>
    <phoneticPr fontId="1" type="noConversion"/>
  </si>
  <si>
    <t>10/15~10/31</t>
    <phoneticPr fontId="1" type="noConversion"/>
  </si>
  <si>
    <t>11/1~11/15</t>
    <phoneticPr fontId="1" type="noConversion"/>
  </si>
  <si>
    <t>11/16~11/30</t>
    <phoneticPr fontId="1" type="noConversion"/>
  </si>
  <si>
    <t>~월 일</t>
    <phoneticPr fontId="1" type="noConversion"/>
  </si>
  <si>
    <t>Ⅰ</t>
  </si>
  <si>
    <t>유물탁본</t>
    <phoneticPr fontId="1" type="noConversion"/>
  </si>
  <si>
    <t>유물촬영 및 수정</t>
    <phoneticPr fontId="1" type="noConversion"/>
  </si>
  <si>
    <t>도면작성</t>
    <phoneticPr fontId="1" type="noConversion"/>
  </si>
  <si>
    <t>도면제도</t>
  </si>
  <si>
    <t>유구</t>
  </si>
  <si>
    <t>유물</t>
  </si>
  <si>
    <t>Ⅱ</t>
  </si>
  <si>
    <t>원고작성</t>
  </si>
  <si>
    <r>
      <t>Ⅰ</t>
    </r>
    <r>
      <rPr>
        <sz val="11"/>
        <color rgb="FF000000"/>
        <rFont val="굴림"/>
        <family val="3"/>
        <charset val="129"/>
      </rPr>
      <t>·</t>
    </r>
    <r>
      <rPr>
        <sz val="11"/>
        <color rgb="FF000000"/>
        <rFont val="맑은 고딕"/>
        <family val="3"/>
        <charset val="129"/>
        <scheme val="minor"/>
      </rPr>
      <t>Ⅱ·Ⅲ장</t>
    </r>
    <phoneticPr fontId="1" type="noConversion"/>
  </si>
  <si>
    <t>유구원고</t>
  </si>
  <si>
    <t>유물원고</t>
  </si>
  <si>
    <t>고찰</t>
  </si>
  <si>
    <t>맺음말</t>
  </si>
  <si>
    <t>부록</t>
  </si>
  <si>
    <t>Ⅲ</t>
  </si>
  <si>
    <t>도면 및 도판 편집</t>
    <phoneticPr fontId="1" type="noConversion"/>
  </si>
  <si>
    <r>
      <t>전체편집</t>
    </r>
    <r>
      <rPr>
        <sz val="11"/>
        <color rgb="FF000000"/>
        <rFont val="굴림"/>
        <family val="3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원고포함</t>
    </r>
    <r>
      <rPr>
        <sz val="11"/>
        <color rgb="FF000000"/>
        <rFont val="굴림"/>
        <family val="3"/>
        <charset val="129"/>
      </rPr>
      <t>)</t>
    </r>
  </si>
  <si>
    <t>Ⅳ</t>
  </si>
  <si>
    <t>인쇄 의뢰</t>
  </si>
  <si>
    <r>
      <t>1</t>
    </r>
    <r>
      <rPr>
        <sz val="11"/>
        <color rgb="FF000000"/>
        <rFont val="맑은 고딕"/>
        <family val="3"/>
        <charset val="129"/>
        <scheme val="minor"/>
      </rPr>
      <t>차</t>
    </r>
  </si>
  <si>
    <t>교정 작업</t>
  </si>
  <si>
    <r>
      <t>2</t>
    </r>
    <r>
      <rPr>
        <sz val="11"/>
        <color rgb="FF000000"/>
        <rFont val="맑은 고딕"/>
        <family val="3"/>
        <charset val="129"/>
        <scheme val="minor"/>
      </rPr>
      <t>차</t>
    </r>
  </si>
  <si>
    <r>
      <t>3</t>
    </r>
    <r>
      <rPr>
        <sz val="11"/>
        <color rgb="FF000000"/>
        <rFont val="맑은 고딕"/>
        <family val="3"/>
        <charset val="129"/>
        <scheme val="minor"/>
      </rPr>
      <t>차</t>
    </r>
  </si>
  <si>
    <t>Ⅴ</t>
  </si>
  <si>
    <t>보고서 발간</t>
  </si>
  <si>
    <t>장흥유구도면평단입면토층도 일러</t>
    <phoneticPr fontId="1" type="noConversion"/>
  </si>
  <si>
    <t>장흥보고서자료 편집시작</t>
    <phoneticPr fontId="1" type="noConversion"/>
  </si>
  <si>
    <t>5. 보고서작업 진행율(전체)</t>
    <phoneticPr fontId="1" type="noConversion"/>
  </si>
  <si>
    <t>진행율
(%)</t>
    <phoneticPr fontId="1" type="noConversion"/>
  </si>
  <si>
    <t>유 구</t>
  </si>
  <si>
    <t>유 물</t>
  </si>
  <si>
    <t>과학
분석</t>
    <phoneticPr fontId="1" type="noConversion"/>
  </si>
  <si>
    <t>유물목록</t>
  </si>
  <si>
    <t>편집</t>
  </si>
  <si>
    <t>초록</t>
  </si>
  <si>
    <t>유물선별
회의</t>
    <phoneticPr fontId="1" type="noConversion"/>
  </si>
  <si>
    <t>도면</t>
  </si>
  <si>
    <t>제도</t>
  </si>
  <si>
    <t>사진</t>
  </si>
  <si>
    <t>실측</t>
    <phoneticPr fontId="1" type="noConversion"/>
  </si>
  <si>
    <t>제도</t>
    <phoneticPr fontId="1" type="noConversion"/>
  </si>
  <si>
    <t>김영아
김성영</t>
    <phoneticPr fontId="1" type="noConversion"/>
  </si>
  <si>
    <t>권영인
최주희</t>
    <phoneticPr fontId="1" type="noConversion"/>
  </si>
  <si>
    <t>2025년 보고서 계획</t>
    <phoneticPr fontId="1" type="noConversion"/>
  </si>
  <si>
    <t>1. 책수  및 보고서명 : 보성-장흥 철도개설공사 구간 내 유적(보성 대야리관동,우산리현촌,택촌,두슬/ 장흥 평화리평화,북교리신월 등 총 6개 유적)</t>
    <phoneticPr fontId="1" type="noConversion"/>
  </si>
  <si>
    <t>2. 발간일 : 2025. 12. 14.</t>
    <phoneticPr fontId="1" type="noConversion"/>
  </si>
  <si>
    <r>
      <rPr>
        <b/>
        <sz val="14"/>
        <color rgb="FF000000"/>
        <rFont val="맑은 고딕"/>
        <family val="3"/>
        <charset val="129"/>
      </rPr>
      <t>3</t>
    </r>
    <r>
      <rPr>
        <b/>
        <sz val="14"/>
        <color rgb="FF000000"/>
        <rFont val="함초롬바탕"/>
        <family val="1"/>
        <charset val="129"/>
      </rPr>
      <t xml:space="preserve">. </t>
    </r>
    <r>
      <rPr>
        <b/>
        <sz val="14"/>
        <color rgb="FF000000"/>
        <rFont val="맑은 고딕"/>
        <family val="3"/>
        <charset val="129"/>
        <scheme val="minor"/>
      </rPr>
      <t xml:space="preserve">유구 및 유물 현황 </t>
    </r>
    <r>
      <rPr>
        <b/>
        <sz val="14"/>
        <color rgb="FF000000"/>
        <rFont val="함초롬바탕"/>
        <family val="1"/>
        <charset val="129"/>
      </rPr>
      <t xml:space="preserve">: </t>
    </r>
    <r>
      <rPr>
        <b/>
        <sz val="14"/>
        <color rgb="FF000000"/>
        <rFont val="맑은 고딕"/>
        <family val="3"/>
        <charset val="129"/>
        <scheme val="minor"/>
      </rPr>
      <t>전체</t>
    </r>
    <r>
      <rPr>
        <b/>
        <sz val="14"/>
        <color rgb="FF000000"/>
        <rFont val="맑은 고딕"/>
        <family val="1"/>
        <charset val="129"/>
        <scheme val="minor"/>
      </rPr>
      <t xml:space="preserve">   730</t>
    </r>
    <r>
      <rPr>
        <b/>
        <sz val="14"/>
        <color rgb="FF000000"/>
        <rFont val="맑은 고딕"/>
        <family val="3"/>
        <charset val="129"/>
        <scheme val="minor"/>
      </rPr>
      <t>기</t>
    </r>
    <r>
      <rPr>
        <b/>
        <sz val="14"/>
        <color rgb="FF000000"/>
        <rFont val="맑은 고딕"/>
        <family val="1"/>
        <charset val="129"/>
        <scheme val="minor"/>
      </rPr>
      <t xml:space="preserve">  2,062</t>
    </r>
    <r>
      <rPr>
        <b/>
        <sz val="14"/>
        <color rgb="FF000000"/>
        <rFont val="맑은 고딕"/>
        <family val="3"/>
        <charset val="129"/>
        <scheme val="minor"/>
      </rPr>
      <t>점</t>
    </r>
    <r>
      <rPr>
        <b/>
        <sz val="14"/>
        <color rgb="FF000000"/>
        <rFont val="맑은 고딕"/>
        <family val="1"/>
        <charset val="129"/>
        <scheme val="minor"/>
      </rPr>
      <t>(유물선별회의 필요)</t>
    </r>
    <r>
      <rPr>
        <b/>
        <sz val="14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</si>
  <si>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t xml:space="preserve">유구 </t>
    <phoneticPr fontId="1" type="noConversion"/>
  </si>
  <si>
    <t>750기</t>
    <phoneticPr fontId="1" type="noConversion"/>
  </si>
  <si>
    <t>보성관동 265기, 보성현촌 83기, 보성택촌 19, 보성두슬 2기 / 장흥평화리 257기, 장흥북교리 124기</t>
    <phoneticPr fontId="1" type="noConversion"/>
  </si>
  <si>
    <t>유물</t>
    <phoneticPr fontId="1" type="noConversion"/>
  </si>
  <si>
    <t>점</t>
    <phoneticPr fontId="1" type="noConversion"/>
  </si>
  <si>
    <t>6. 보고서 작업진행율 상세</t>
    <phoneticPr fontId="1" type="noConversion"/>
  </si>
  <si>
    <t xml:space="preserve"> 1. 보성 대야리 관동유적(주거지,수혈,가마,분묘)</t>
    <phoneticPr fontId="1" type="noConversion"/>
  </si>
  <si>
    <t>평면도</t>
    <phoneticPr fontId="1" type="noConversion"/>
  </si>
  <si>
    <t>토층도</t>
    <phoneticPr fontId="1" type="noConversion"/>
  </si>
  <si>
    <t>입단면도</t>
    <phoneticPr fontId="1" type="noConversion"/>
  </si>
  <si>
    <t>가편집</t>
    <phoneticPr fontId="1" type="noConversion"/>
  </si>
  <si>
    <t>유구편집</t>
    <phoneticPr fontId="1" type="noConversion"/>
  </si>
  <si>
    <t>유물촬영</t>
    <phoneticPr fontId="1" type="noConversion"/>
  </si>
  <si>
    <t>유구원고</t>
    <phoneticPr fontId="1" type="noConversion"/>
  </si>
  <si>
    <t>유물원고</t>
    <phoneticPr fontId="1" type="noConversion"/>
  </si>
  <si>
    <t>유구</t>
    <phoneticPr fontId="1" type="noConversion"/>
  </si>
  <si>
    <t>유구사진편집</t>
    <phoneticPr fontId="1" type="noConversion"/>
  </si>
  <si>
    <t>유물사진</t>
    <phoneticPr fontId="1" type="noConversion"/>
  </si>
  <si>
    <t>3. 보성 택촌유적(수혈,주혈,구상유구)</t>
    <phoneticPr fontId="1" type="noConversion"/>
  </si>
  <si>
    <t>4. 보성 두슬유적(고려석곽묘,수혈)</t>
    <phoneticPr fontId="1" type="noConversion"/>
  </si>
  <si>
    <t>5. 장흥 평화리 유적(저습지 유적)</t>
    <phoneticPr fontId="1" type="noConversion"/>
  </si>
  <si>
    <t>주혈군단면일러필요</t>
    <phoneticPr fontId="1" type="noConversion"/>
  </si>
  <si>
    <t>일러도면 더 있는지 확인해야함</t>
    <phoneticPr fontId="1" type="noConversion"/>
  </si>
  <si>
    <t>평면도면 방법 결정필요</t>
    <phoneticPr fontId="1" type="noConversion"/>
  </si>
  <si>
    <t>6. 장흥 북교리 신월유적(구석기,삼국주거지,적심)</t>
    <phoneticPr fontId="1" type="noConversion"/>
  </si>
  <si>
    <t>보성보고서자료 편집시작</t>
    <phoneticPr fontId="1" type="noConversion"/>
  </si>
  <si>
    <t>장흥보고서자료 편집시작</t>
  </si>
  <si>
    <t>장흥신월유적유구원고</t>
    <phoneticPr fontId="1" type="noConversion"/>
  </si>
  <si>
    <t>5-1. 고려~조선수혈,주혈 등 생활유적</t>
    <phoneticPr fontId="1" type="noConversion"/>
  </si>
  <si>
    <t>1-1.청동기주거지
2. 초기철기~원삼국시대저습지(대포황천) 외 다량의 주혈, 굴립주 등 생활유적</t>
    <phoneticPr fontId="1" type="noConversion"/>
  </si>
  <si>
    <t>1. 구석기
4. 삼국시대주거지</t>
    <phoneticPr fontId="1" type="noConversion"/>
  </si>
  <si>
    <t>4.삼국시대주거지
5-1. 가마
5. 조선시대 토광묘</t>
    <phoneticPr fontId="1" type="noConversion"/>
  </si>
  <si>
    <t xml:space="preserve">3. 초기철기 목관묘(재갈)
5. 조선시대 토광묘(지석)
</t>
    <phoneticPr fontId="1" type="noConversion"/>
  </si>
  <si>
    <t>5. 고려석곽</t>
    <phoneticPr fontId="1" type="noConversion"/>
  </si>
  <si>
    <r>
      <rPr>
        <u/>
        <sz val="10"/>
        <color theme="1"/>
        <rFont val="맑은 고딕"/>
        <family val="3"/>
        <charset val="129"/>
        <scheme val="minor"/>
      </rPr>
      <t xml:space="preserve">1. 구석기
</t>
    </r>
    <r>
      <rPr>
        <sz val="10"/>
        <color theme="1"/>
        <rFont val="맑은 고딕"/>
        <family val="3"/>
        <charset val="129"/>
        <scheme val="minor"/>
      </rPr>
      <t xml:space="preserve">
2. 초기철기 생활유적
3. 초기철기 분묘유적
4. 삼국시대 주거지
5. 고려~조선 분묘유적</t>
    </r>
    <phoneticPr fontId="1" type="noConversion"/>
  </si>
  <si>
    <r>
      <rPr>
        <sz val="9"/>
        <color rgb="FFFF0000"/>
        <rFont val="맑은 고딕"/>
        <family val="3"/>
        <charset val="129"/>
        <scheme val="minor"/>
      </rPr>
      <t>3. 초기철기 목관묘4(재갈 외</t>
    </r>
    <r>
      <rPr>
        <sz val="9"/>
        <color theme="1"/>
        <rFont val="맑은 고딕"/>
        <family val="3"/>
        <charset val="129"/>
        <scheme val="minor"/>
      </rPr>
      <t>)
5. 고려~조선시대 토광묘25(지석)
5-1. 고려~조선수혈,주혈 등 생활유적</t>
    </r>
    <phoneticPr fontId="1" type="noConversion"/>
  </si>
  <si>
    <r>
      <rPr>
        <sz val="9"/>
        <color theme="3" tint="-0.249977111117893"/>
        <rFont val="맑은 고딕"/>
        <family val="3"/>
        <charset val="129"/>
        <scheme val="minor"/>
      </rPr>
      <t>1-1. 청동기주거지(4)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2. 초기철기~원삼국시대저습지(대포황천) 외 다량의 주혈, 굴립주 등 생활유적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00B050"/>
        <rFont val="맑은 고딕"/>
        <family val="3"/>
        <charset val="129"/>
        <scheme val="minor"/>
      </rPr>
      <t>4. 삼국시대주거지(3)</t>
    </r>
    <phoneticPr fontId="1" type="noConversion"/>
  </si>
  <si>
    <r>
      <t xml:space="preserve">1. 구석기
</t>
    </r>
    <r>
      <rPr>
        <sz val="9"/>
        <color theme="3" tint="-0.249977111117893"/>
        <rFont val="맑은 고딕"/>
        <family val="3"/>
        <charset val="129"/>
        <scheme val="minor"/>
      </rPr>
      <t>1-1. 청동기주거지(1)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00B050"/>
        <rFont val="맑은 고딕"/>
        <family val="3"/>
        <charset val="129"/>
        <scheme val="minor"/>
      </rPr>
      <t>4. 삼국시대주거지(22) 외 수혈,주혈,구상유구 등</t>
    </r>
    <r>
      <rPr>
        <sz val="9"/>
        <color theme="1"/>
        <rFont val="맑은 고딕"/>
        <family val="3"/>
        <charset val="129"/>
        <scheme val="minor"/>
      </rPr>
      <t xml:space="preserve">
5-1. 조선시대 적심건물(2)외수혈,구상유구</t>
    </r>
    <phoneticPr fontId="1" type="noConversion"/>
  </si>
  <si>
    <r>
      <rPr>
        <sz val="9"/>
        <color theme="3" tint="-0.249977111117893"/>
        <rFont val="맑은 고딕"/>
        <family val="3"/>
        <charset val="129"/>
        <scheme val="minor"/>
      </rPr>
      <t>1-1. 청동기주거지(3)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00B050"/>
        <rFont val="맑은 고딕"/>
        <family val="3"/>
        <charset val="129"/>
        <scheme val="minor"/>
      </rPr>
      <t>4. 삼국시대주거지(152)</t>
    </r>
    <r>
      <rPr>
        <sz val="9"/>
        <color theme="1"/>
        <rFont val="맑은 고딕"/>
        <family val="3"/>
        <charset val="129"/>
        <scheme val="minor"/>
      </rPr>
      <t xml:space="preserve">
4-1. 가마(2)
5. 조선시대 토광묘(11) 외수혈,주혈 등</t>
    </r>
    <phoneticPr fontId="1" type="noConversion"/>
  </si>
  <si>
    <r>
      <rPr>
        <u/>
        <sz val="10"/>
        <color theme="1"/>
        <rFont val="맑은 고딕"/>
        <family val="3"/>
        <charset val="129"/>
        <scheme val="minor"/>
      </rPr>
      <t xml:space="preserve">1. 구석기
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3" tint="-0.249977111117893"/>
        <rFont val="맑은 고딕"/>
        <family val="3"/>
        <charset val="129"/>
        <scheme val="minor"/>
      </rPr>
      <t xml:space="preserve">1-1. 청동기 주거지(관동,평화리,신월)
=&gt;
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2. 초기철기~원삼국 생활유적(평화유적)
 =&gt; 유구-차순철(유물편집본 필요)
 =&gt; 유물-김옥순(10월31일 자료전달)
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3. 초기철기 분묘유적(현촌유적)
 =&gt; 유구,유물=&gt;기존연구사용 =&gt; 
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00B050"/>
        <rFont val="맑은 고딕"/>
        <family val="3"/>
        <charset val="129"/>
        <scheme val="minor"/>
      </rPr>
      <t xml:space="preserve">4. 삼국시대 주거지(관동유적/신월유적)
 =&gt; 유구-김영아
 </t>
    </r>
    <r>
      <rPr>
        <sz val="10"/>
        <color rgb="FFFF0000"/>
        <rFont val="맑은 고딕"/>
        <family val="3"/>
        <charset val="129"/>
        <scheme val="minor"/>
      </rPr>
      <t>=&gt; 유물-김옥순</t>
    </r>
    <r>
      <rPr>
        <sz val="10"/>
        <color theme="1"/>
        <rFont val="맑은 고딕"/>
        <family val="3"/>
        <charset val="129"/>
        <scheme val="minor"/>
      </rPr>
      <t xml:space="preserve">
5. 고려~조선 분묘 및 생활유적
 =&gt; 이사장님</t>
    </r>
    <phoneticPr fontId="1" type="noConversion"/>
  </si>
  <si>
    <t>유구번호</t>
    <phoneticPr fontId="1" type="noConversion"/>
  </si>
  <si>
    <t>평면형태</t>
    <phoneticPr fontId="1" type="noConversion"/>
  </si>
  <si>
    <t>규모</t>
    <phoneticPr fontId="1" type="noConversion"/>
  </si>
  <si>
    <t>내부시설</t>
    <phoneticPr fontId="1" type="noConversion"/>
  </si>
  <si>
    <t>장축</t>
    <phoneticPr fontId="1" type="noConversion"/>
  </si>
  <si>
    <t>단축</t>
    <phoneticPr fontId="1" type="noConversion"/>
  </si>
  <si>
    <t>깊이</t>
    <phoneticPr fontId="1" type="noConversion"/>
  </si>
  <si>
    <t>벽구</t>
    <phoneticPr fontId="1" type="noConversion"/>
  </si>
  <si>
    <t>출토유물</t>
    <phoneticPr fontId="1" type="noConversion"/>
  </si>
  <si>
    <t>말각방형</t>
    <phoneticPr fontId="1" type="noConversion"/>
  </si>
  <si>
    <t>무문토기,석착석촉</t>
    <phoneticPr fontId="1" type="noConversion"/>
  </si>
  <si>
    <t>437</t>
    <phoneticPr fontId="1" type="noConversion"/>
  </si>
  <si>
    <t>409</t>
    <phoneticPr fontId="1" type="noConversion"/>
  </si>
  <si>
    <t>27</t>
    <phoneticPr fontId="1" type="noConversion"/>
  </si>
  <si>
    <t>335</t>
    <phoneticPr fontId="1" type="noConversion"/>
  </si>
  <si>
    <t>305</t>
    <phoneticPr fontId="1" type="noConversion"/>
  </si>
  <si>
    <t>36</t>
    <phoneticPr fontId="1" type="noConversion"/>
  </si>
  <si>
    <t>465</t>
    <phoneticPr fontId="1" type="noConversion"/>
  </si>
  <si>
    <t>450</t>
    <phoneticPr fontId="1" type="noConversion"/>
  </si>
  <si>
    <t>22</t>
    <phoneticPr fontId="1" type="noConversion"/>
  </si>
  <si>
    <t>516</t>
    <phoneticPr fontId="1" type="noConversion"/>
  </si>
  <si>
    <t>432</t>
    <phoneticPr fontId="1" type="noConversion"/>
  </si>
  <si>
    <t>21</t>
    <phoneticPr fontId="1" type="noConversion"/>
  </si>
  <si>
    <t>564</t>
    <phoneticPr fontId="1" type="noConversion"/>
  </si>
  <si>
    <t>4주식</t>
    <phoneticPr fontId="1" type="noConversion"/>
  </si>
  <si>
    <t>560</t>
    <phoneticPr fontId="1" type="noConversion"/>
  </si>
  <si>
    <t>30</t>
    <phoneticPr fontId="1" type="noConversion"/>
  </si>
  <si>
    <t>426</t>
    <phoneticPr fontId="1" type="noConversion"/>
  </si>
  <si>
    <t>410</t>
    <phoneticPr fontId="1" type="noConversion"/>
  </si>
  <si>
    <t>38</t>
    <phoneticPr fontId="1" type="noConversion"/>
  </si>
  <si>
    <t>1184</t>
    <phoneticPr fontId="1" type="noConversion"/>
  </si>
  <si>
    <t>997</t>
    <phoneticPr fontId="1" type="noConversion"/>
  </si>
  <si>
    <t>40</t>
    <phoneticPr fontId="1" type="noConversion"/>
  </si>
  <si>
    <t>308</t>
    <phoneticPr fontId="1" type="noConversion"/>
  </si>
  <si>
    <t>230</t>
    <phoneticPr fontId="1" type="noConversion"/>
  </si>
  <si>
    <t>400</t>
    <phoneticPr fontId="1" type="noConversion"/>
  </si>
  <si>
    <t>350</t>
    <phoneticPr fontId="1" type="noConversion"/>
  </si>
  <si>
    <t>357</t>
    <phoneticPr fontId="1" type="noConversion"/>
  </si>
  <si>
    <t>325</t>
    <phoneticPr fontId="1" type="noConversion"/>
  </si>
  <si>
    <t>328</t>
    <phoneticPr fontId="1" type="noConversion"/>
  </si>
  <si>
    <t>18</t>
    <phoneticPr fontId="1" type="noConversion"/>
  </si>
  <si>
    <t>494</t>
    <phoneticPr fontId="1" type="noConversion"/>
  </si>
  <si>
    <t>280</t>
    <phoneticPr fontId="1" type="noConversion"/>
  </si>
  <si>
    <t>312</t>
    <phoneticPr fontId="1" type="noConversion"/>
  </si>
  <si>
    <t>265</t>
    <phoneticPr fontId="1" type="noConversion"/>
  </si>
  <si>
    <t>379</t>
    <phoneticPr fontId="1" type="noConversion"/>
  </si>
  <si>
    <t>295</t>
    <phoneticPr fontId="1" type="noConversion"/>
  </si>
  <si>
    <t>25</t>
    <phoneticPr fontId="1" type="noConversion"/>
  </si>
  <si>
    <t>590</t>
    <phoneticPr fontId="1" type="noConversion"/>
  </si>
  <si>
    <t>557</t>
    <phoneticPr fontId="1" type="noConversion"/>
  </si>
  <si>
    <t>15</t>
    <phoneticPr fontId="1" type="noConversion"/>
  </si>
  <si>
    <t>460</t>
    <phoneticPr fontId="1" type="noConversion"/>
  </si>
  <si>
    <t>380</t>
    <phoneticPr fontId="1" type="noConversion"/>
  </si>
  <si>
    <t>13</t>
    <phoneticPr fontId="1" type="noConversion"/>
  </si>
  <si>
    <t>621</t>
    <phoneticPr fontId="1" type="noConversion"/>
  </si>
  <si>
    <t>530</t>
    <phoneticPr fontId="1" type="noConversion"/>
  </si>
  <si>
    <t>16</t>
    <phoneticPr fontId="1" type="noConversion"/>
  </si>
  <si>
    <t>428</t>
    <phoneticPr fontId="1" type="noConversion"/>
  </si>
  <si>
    <t>420</t>
    <phoneticPr fontId="1" type="noConversion"/>
  </si>
  <si>
    <t>525</t>
    <phoneticPr fontId="1" type="noConversion"/>
  </si>
  <si>
    <t>515</t>
    <phoneticPr fontId="1" type="noConversion"/>
  </si>
  <si>
    <t>340</t>
    <phoneticPr fontId="1" type="noConversion"/>
  </si>
  <si>
    <t>20</t>
    <phoneticPr fontId="1" type="noConversion"/>
  </si>
  <si>
    <t>385</t>
    <phoneticPr fontId="1" type="noConversion"/>
  </si>
  <si>
    <t>370</t>
    <phoneticPr fontId="1" type="noConversion"/>
  </si>
  <si>
    <t>26</t>
    <phoneticPr fontId="1" type="noConversion"/>
  </si>
  <si>
    <t>360</t>
    <phoneticPr fontId="1" type="noConversion"/>
  </si>
  <si>
    <t>287</t>
    <phoneticPr fontId="1" type="noConversion"/>
  </si>
  <si>
    <t>490</t>
    <phoneticPr fontId="1" type="noConversion"/>
  </si>
  <si>
    <t>장방형</t>
    <phoneticPr fontId="1" type="noConversion"/>
  </si>
  <si>
    <t>방형</t>
    <phoneticPr fontId="1" type="noConversion"/>
  </si>
  <si>
    <t>추)방형</t>
    <phoneticPr fontId="1" type="noConversion"/>
  </si>
  <si>
    <t>현)말각장방형</t>
    <phoneticPr fontId="1" type="noConversion"/>
  </si>
  <si>
    <t>추)오각형</t>
    <phoneticPr fontId="1" type="noConversion"/>
  </si>
  <si>
    <t>오각형</t>
    <phoneticPr fontId="1" type="noConversion"/>
  </si>
  <si>
    <t>원형</t>
    <phoneticPr fontId="1" type="noConversion"/>
  </si>
  <si>
    <t>내부수혈164×92×21/내부주혈 4-13㎝</t>
    <phoneticPr fontId="1" type="noConversion"/>
  </si>
  <si>
    <t>아궁이 70×50 내부수혈 121×40×11, 71×24×5/내부주혈 지름9∼21, 깊이9∼15㎝</t>
    <phoneticPr fontId="1" type="noConversion"/>
  </si>
  <si>
    <t>아궁이지름53×47, 내부수혈52×30×7, 63×25×7, 지름36 /내부주혈 지름 6∼13, 지름18∼25, 깊이3∼5㎝</t>
    <phoneticPr fontId="1" type="noConversion"/>
  </si>
  <si>
    <t>4주식,외줄구들,내부수혈 209×105×25
내부주혈12∼18㎝</t>
    <phoneticPr fontId="1" type="noConversion"/>
  </si>
  <si>
    <t>부뚜막131×114/전체구들230×50∼34 
내부수혈 깊이 12/내부주혈6∼24㎝</t>
    <phoneticPr fontId="1" type="noConversion"/>
  </si>
  <si>
    <t xml:space="preserve">부뚜막60×50×8/전체구들150×36 </t>
    <phoneticPr fontId="1" type="noConversion"/>
  </si>
  <si>
    <t>내부수혈 79×60×17/내부주혈 지름24,35 깊이9∼19㎝</t>
    <phoneticPr fontId="1" type="noConversion"/>
  </si>
  <si>
    <t>내부수혈 깊이5/주혈 깊이3-8</t>
    <phoneticPr fontId="1" type="noConversion"/>
  </si>
  <si>
    <t>송국리형 내부수혈80×65×22/내부주혈 지름19,20깊이17</t>
    <phoneticPr fontId="1" type="noConversion"/>
  </si>
  <si>
    <t>부뚜막
아궁이</t>
    <phoneticPr fontId="1" type="noConversion"/>
  </si>
  <si>
    <t>○</t>
  </si>
  <si>
    <t>○</t>
    <phoneticPr fontId="1" type="noConversion"/>
  </si>
  <si>
    <t>화재폐기/ 아궁이 60×70 직선구간 120×49 내부주혈 지름 9</t>
    <phoneticPr fontId="1" type="noConversion"/>
  </si>
  <si>
    <t>방추차,연질토기</t>
    <phoneticPr fontId="1" type="noConversion"/>
  </si>
  <si>
    <t>시루편,타날토기</t>
    <phoneticPr fontId="1" type="noConversion"/>
  </si>
  <si>
    <t>타날토기</t>
    <phoneticPr fontId="1" type="noConversion"/>
  </si>
  <si>
    <t>방추차,타날토기</t>
    <phoneticPr fontId="1" type="noConversion"/>
  </si>
  <si>
    <t>◎</t>
  </si>
  <si>
    <t>회색경질토기,타날토기</t>
    <phoneticPr fontId="1" type="noConversion"/>
  </si>
  <si>
    <t>◎</t>
    <phoneticPr fontId="1" type="noConversion"/>
  </si>
  <si>
    <t>경질무문,타날토기</t>
    <phoneticPr fontId="1" type="noConversion"/>
  </si>
  <si>
    <t>대형주거지,아궁이110×95×28/전체구들605×60∼97, 내부주혈 깊이5∼25㎝</t>
    <phoneticPr fontId="1" type="noConversion"/>
  </si>
  <si>
    <t>벽주</t>
    <phoneticPr fontId="1" type="noConversion"/>
  </si>
  <si>
    <t>입구부점토층</t>
    <phoneticPr fontId="1" type="noConversion"/>
  </si>
  <si>
    <t>구들
흔적</t>
    <phoneticPr fontId="1" type="noConversion"/>
  </si>
  <si>
    <t>보고서 수정</t>
    <phoneticPr fontId="1" type="noConversion"/>
  </si>
  <si>
    <t>내부수혈2 62×7㎝</t>
    <phoneticPr fontId="1" type="noConversion"/>
  </si>
  <si>
    <t>11호에 선축됨. 외부돌출부 139×40 내부수혈 깊이 9∼25/내부주혈 4∼50㎝</t>
    <phoneticPr fontId="1" type="noConversion"/>
  </si>
  <si>
    <t>타날토기,우각형손잡이</t>
    <phoneticPr fontId="1" type="noConversion"/>
  </si>
  <si>
    <t xml:space="preserve">                                                           </t>
    <phoneticPr fontId="1" type="noConversion"/>
  </si>
  <si>
    <t>12호에 후축됨. 부뚜막90×85/전체구들248×11∼26 아궁이입구 비스듬하게 설치</t>
    <phoneticPr fontId="1" type="noConversion"/>
  </si>
  <si>
    <t>15호에 후축됨. 내부수혈 65×56×20</t>
    <phoneticPr fontId="1" type="noConversion"/>
  </si>
  <si>
    <t>14호에 선축됨. 16호에 후축됨. 내부수혈 깊이 9∼25, 내부주혈 50×5∼20㎝</t>
    <phoneticPr fontId="1" type="noConversion"/>
  </si>
  <si>
    <t>15호에 선축됨. 수혈내 주혈포함</t>
    <phoneticPr fontId="1" type="noConversion"/>
  </si>
  <si>
    <t>장방형</t>
  </si>
  <si>
    <t>아궁이 132×53, 벽주, 벽구흔적</t>
    <phoneticPr fontId="1" type="noConversion"/>
  </si>
  <si>
    <t>배연돌출부</t>
    <phoneticPr fontId="1" type="noConversion"/>
  </si>
  <si>
    <t>유물다량, 남쪽 돌출부로 인해 더욱 오각형으로 보여짐.</t>
    <phoneticPr fontId="1" type="noConversion"/>
  </si>
  <si>
    <t xml:space="preserve">돌출부 길이 25×57㎝ </t>
    <phoneticPr fontId="1" type="noConversion"/>
  </si>
  <si>
    <t>아궁이흔 47×38㎝, 화재페기</t>
    <phoneticPr fontId="1" type="noConversion"/>
  </si>
  <si>
    <t>경질무문토기,회색연질토기</t>
    <phoneticPr fontId="1" type="noConversion"/>
  </si>
  <si>
    <t>입구돌출부21×140㎝ 입구부 완만한 경사. 부뚜막76×65×15㎝, 토기지각과 판석형지각 확인. 외줄구들87×15∼10, 대량유물, 화재폐기</t>
    <phoneticPr fontId="1" type="noConversion"/>
  </si>
  <si>
    <t>적갈색연질토기</t>
    <phoneticPr fontId="1" type="noConversion"/>
  </si>
  <si>
    <t xml:space="preserve">아궁이흔55×49. </t>
    <phoneticPr fontId="1" type="noConversion"/>
  </si>
  <si>
    <t>타날토기,회색연질토기</t>
    <phoneticPr fontId="1" type="noConversion"/>
  </si>
  <si>
    <t>유물다량, 화재폐기.</t>
    <phoneticPr fontId="1" type="noConversion"/>
  </si>
  <si>
    <t>말각장방형</t>
  </si>
  <si>
    <t>-</t>
  </si>
  <si>
    <t xml:space="preserve">  </t>
  </si>
  <si>
    <t>·</t>
  </si>
  <si>
    <t>말각방형</t>
  </si>
  <si>
    <t>ㄱ</t>
  </si>
  <si>
    <t>ㄷ</t>
  </si>
  <si>
    <t>一</t>
  </si>
  <si>
    <t>부정형</t>
  </si>
  <si>
    <t>타원형</t>
  </si>
  <si>
    <t>말각장방</t>
  </si>
  <si>
    <t>장타원형</t>
  </si>
  <si>
    <t>원형</t>
  </si>
  <si>
    <t>(</t>
  </si>
  <si>
    <t>타날문토기편</t>
  </si>
  <si>
    <t>내주1</t>
  </si>
  <si>
    <t>내주3(양단벽 주혈)</t>
  </si>
  <si>
    <t>사업경계</t>
  </si>
  <si>
    <t>시루, 방추차</t>
  </si>
  <si>
    <t>후축, 3-2호 중복
유구중앙 석재부뚜막,내주1</t>
    <phoneticPr fontId="1" type="noConversion"/>
  </si>
  <si>
    <t>후축, 4-1호 중복
선축유구와 주축방향차이있음, 토기편 산재</t>
    <phoneticPr fontId="1" type="noConversion"/>
  </si>
  <si>
    <t>선축, 4-2호 중복
북단벽 서쪽에 치우쳐 부뚜막,지각,내부주혈7</t>
    <phoneticPr fontId="1" type="noConversion"/>
  </si>
  <si>
    <t>아궁이흔(피열바닥),외줄구들, 외부돌출배연부, 추정돌출부(출입시설)중앙수혈1, 내주8</t>
    <phoneticPr fontId="1" type="noConversion"/>
  </si>
  <si>
    <t>부뚜막, 외줄구들, 돌출배연부, 벽구, 아궁이피열흔강함</t>
    <phoneticPr fontId="1" type="noConversion"/>
  </si>
  <si>
    <t>아궁이, 돌출배연부, 벽구, 중앙바닥 원형피열흔</t>
    <phoneticPr fontId="1" type="noConversion"/>
  </si>
  <si>
    <t>동장벽중앙돌출부</t>
    <phoneticPr fontId="1" type="noConversion"/>
  </si>
  <si>
    <t>호형 내부구, 내주1</t>
    <phoneticPr fontId="1" type="noConversion"/>
  </si>
  <si>
    <t>벽구, 내주5</t>
    <phoneticPr fontId="1" type="noConversion"/>
  </si>
  <si>
    <t>후축, 17-3호 중복
북단벽아궁이피열흔, 내주10</t>
    <phoneticPr fontId="1" type="noConversion"/>
  </si>
  <si>
    <t>중복?, 아궁이, 벽구, 내주3</t>
    <phoneticPr fontId="1" type="noConversion"/>
  </si>
  <si>
    <t xml:space="preserve">후축, 19-2호 중복, 수혈1,내주2 </t>
    <phoneticPr fontId="1" type="noConversion"/>
  </si>
  <si>
    <t>선축, 19-1호 중복, 내주1</t>
    <phoneticPr fontId="1" type="noConversion"/>
  </si>
  <si>
    <t>사업경계, 내주1</t>
    <phoneticPr fontId="1" type="noConversion"/>
  </si>
  <si>
    <t>바닥탄화목, 아궁이흔, 벽구, 내부수혈3, 내부주혈4, 유물다량</t>
    <phoneticPr fontId="1" type="noConversion"/>
  </si>
  <si>
    <t>벽구, 내부주혈, 출입시설추정외부돌출부</t>
    <phoneticPr fontId="1" type="noConversion"/>
  </si>
  <si>
    <t>후축, 27호 중복</t>
    <phoneticPr fontId="1" type="noConversion"/>
  </si>
  <si>
    <t>선축, 26호 중복
선축, 28호 중복</t>
    <phoneticPr fontId="1" type="noConversion"/>
  </si>
  <si>
    <t>후축, 27호 중복
선축, 29호 중복
중앙바닥 아궁이흔,</t>
    <phoneticPr fontId="1" type="noConversion"/>
  </si>
  <si>
    <t>후축, 28호 중복
선축, 30호 중복</t>
    <phoneticPr fontId="1" type="noConversion"/>
  </si>
  <si>
    <t>후축, 29호 중복
후축, 30-1호 중복
부뚜막, 외부배연부2개중첩</t>
    <phoneticPr fontId="1" type="noConversion"/>
  </si>
  <si>
    <t>선축, 30호 중복
벽구,내부수혈1,내주3</t>
    <phoneticPr fontId="1" type="noConversion"/>
  </si>
  <si>
    <t>후축, 33호 중복
벽구,외부돌출구(배연) 내수4,내주2</t>
    <phoneticPr fontId="1" type="noConversion"/>
  </si>
  <si>
    <t>선축, 32호 중복
부뚜막,외줄구들, 내수1,내주1,불다짐바닥</t>
    <phoneticPr fontId="1" type="noConversion"/>
  </si>
  <si>
    <t>후축, 43-2호 중복
아궁이흔, 외줄구들,돌출배연구,벽구,</t>
    <phoneticPr fontId="1" type="noConversion"/>
  </si>
  <si>
    <t>선축, 43-1호 중복
후축, 43-3호 중복
벽구, 출입돌출부 및 주혈, 내수1</t>
    <phoneticPr fontId="1" type="noConversion"/>
  </si>
  <si>
    <t>선축, 43-2호 중복
선축, 88호 중복
벽구, 내주1</t>
    <phoneticPr fontId="1" type="noConversion"/>
  </si>
  <si>
    <t>선축, 43-2호 중복
벽구</t>
    <phoneticPr fontId="1" type="noConversion"/>
  </si>
  <si>
    <t>선축, 45호 중복
내부수혈1</t>
    <phoneticPr fontId="1" type="noConversion"/>
  </si>
  <si>
    <t>암반층바닥, 내주1</t>
    <phoneticPr fontId="1" type="noConversion"/>
  </si>
  <si>
    <t>내주12</t>
    <phoneticPr fontId="1" type="noConversion"/>
  </si>
  <si>
    <t>선축, 57-1호 중복
벽구,내수1,내주4</t>
    <phoneticPr fontId="1" type="noConversion"/>
  </si>
  <si>
    <t>이단굴광, 외부돌출부(배연부추정),벽구,내주1</t>
    <phoneticPr fontId="1" type="noConversion"/>
  </si>
  <si>
    <t>후축, 64-2호 중복
외줄구들흔적, 외부돌출구, 바닥탄화목층, 바닥 및 벽체진흙벽체</t>
    <phoneticPr fontId="1" type="noConversion"/>
  </si>
  <si>
    <t>선축, 64-1호 중복
벽구, 내주3</t>
    <phoneticPr fontId="1" type="noConversion"/>
  </si>
  <si>
    <t>후축, 143호 중복
외부돌출구(배연부추정)</t>
    <phoneticPr fontId="1" type="noConversion"/>
  </si>
  <si>
    <t>벽구, 외부돌출부(배연부추정)</t>
    <phoneticPr fontId="1" type="noConversion"/>
  </si>
  <si>
    <t>이단굴광구들,외부돌출부(배연부추정),내부적석</t>
    <phoneticPr fontId="1" type="noConversion"/>
  </si>
  <si>
    <t>선축, 82호 중복
벽구,내주1,탄화목</t>
    <phoneticPr fontId="1" type="noConversion"/>
  </si>
  <si>
    <t>후축, 81호 중복</t>
    <phoneticPr fontId="1" type="noConversion"/>
  </si>
  <si>
    <t>아궁이흔, 외부돌출구2(배연,배수), 벽구, 내수1,내주2소결바닥</t>
    <phoneticPr fontId="1" type="noConversion"/>
  </si>
  <si>
    <t>후축, 87호 중복
이단굴광, 벽구</t>
    <phoneticPr fontId="1" type="noConversion"/>
  </si>
  <si>
    <t>선축,86호 중복
외부돌출부(배연)</t>
    <phoneticPr fontId="1" type="noConversion"/>
  </si>
  <si>
    <t>아궁이흔, 벽구, 내주1</t>
    <phoneticPr fontId="1" type="noConversion"/>
  </si>
  <si>
    <t>외부돌출부, 벽구</t>
    <phoneticPr fontId="1" type="noConversion"/>
  </si>
  <si>
    <t>선축, 97-2호 중복
내주1</t>
    <phoneticPr fontId="1" type="noConversion"/>
  </si>
  <si>
    <t>후축, 97-1호 중복
벽구</t>
    <phoneticPr fontId="1" type="noConversion"/>
  </si>
  <si>
    <t>외부돌출부(출입부)</t>
    <phoneticPr fontId="1" type="noConversion"/>
  </si>
  <si>
    <t>후축, 100-1호 중복
외부돌출부(배연부추정),벽구,</t>
    <phoneticPr fontId="1" type="noConversion"/>
  </si>
  <si>
    <t>선축, 100호 중복
벽구</t>
    <phoneticPr fontId="1" type="noConversion"/>
  </si>
  <si>
    <t>벽구, 내주2</t>
    <phoneticPr fontId="1" type="noConversion"/>
  </si>
  <si>
    <t>내주1</t>
    <phoneticPr fontId="1" type="noConversion"/>
  </si>
  <si>
    <t>내부점토 및 탄화목더미</t>
    <phoneticPr fontId="1" type="noConversion"/>
  </si>
  <si>
    <t>선축, 124-1중복
후축, 124-3호 중복
내주2</t>
    <phoneticPr fontId="1" type="noConversion"/>
  </si>
  <si>
    <t>선축, 125-1호 중복
이단굴광,외부돌출배연부,벽구</t>
    <phoneticPr fontId="1" type="noConversion"/>
  </si>
  <si>
    <t>후축, 125호 중복
아궁이흔, 벽구</t>
    <phoneticPr fontId="1" type="noConversion"/>
  </si>
  <si>
    <t>외부돌출부,벽구,내주2</t>
    <phoneticPr fontId="1" type="noConversion"/>
  </si>
  <si>
    <t>아궁이흔, 벽구</t>
    <phoneticPr fontId="1" type="noConversion"/>
  </si>
  <si>
    <t>후축,137-2호 중복</t>
    <phoneticPr fontId="1" type="noConversion"/>
  </si>
  <si>
    <t>선축,137-1호 중복
아궁이흔</t>
    <phoneticPr fontId="1" type="noConversion"/>
  </si>
  <si>
    <t>벽구, 내주4</t>
    <phoneticPr fontId="1" type="noConversion"/>
  </si>
  <si>
    <t>선축, 75호 중복</t>
    <phoneticPr fontId="1" type="noConversion"/>
  </si>
  <si>
    <t>선축, 22호 중복</t>
    <phoneticPr fontId="1" type="noConversion"/>
  </si>
  <si>
    <t>호형토기,타날토기</t>
    <phoneticPr fontId="1" type="noConversion"/>
  </si>
  <si>
    <t>타날토기편</t>
    <phoneticPr fontId="1" type="noConversion"/>
  </si>
  <si>
    <t>장란형토기, 타날토기편, 방추차</t>
    <phoneticPr fontId="1" type="noConversion"/>
  </si>
  <si>
    <t>타날토기편, 방추차</t>
    <phoneticPr fontId="1" type="noConversion"/>
  </si>
  <si>
    <t xml:space="preserve">호형토기, 타날토기편 </t>
    <phoneticPr fontId="1" type="noConversion"/>
  </si>
  <si>
    <t>호형토기편, 타날문토기편</t>
    <phoneticPr fontId="1" type="noConversion"/>
  </si>
  <si>
    <t>호형토기편, 발형토기편, 타날토기편</t>
    <phoneticPr fontId="1" type="noConversion"/>
  </si>
  <si>
    <t>호형토기편, 타날토기편</t>
    <phoneticPr fontId="1" type="noConversion"/>
  </si>
  <si>
    <t>파수호, 호형토기, 발형토기편, 타날토기편</t>
    <phoneticPr fontId="1" type="noConversion"/>
  </si>
  <si>
    <t>타날토기편, 파수편</t>
    <phoneticPr fontId="1" type="noConversion"/>
  </si>
  <si>
    <t>발형토기편, 타날토기편</t>
    <phoneticPr fontId="1" type="noConversion"/>
  </si>
  <si>
    <t>파수편, 타날토기편</t>
    <phoneticPr fontId="1" type="noConversion"/>
  </si>
  <si>
    <t>토기 파수부편</t>
    <phoneticPr fontId="1" type="noConversion"/>
  </si>
  <si>
    <t xml:space="preserve">수정, </t>
    <phoneticPr fontId="1" type="noConversion"/>
  </si>
  <si>
    <t>발형토기편,타날토기</t>
    <phoneticPr fontId="1" type="noConversion"/>
  </si>
  <si>
    <t xml:space="preserve">  </t>
    <phoneticPr fontId="1" type="noConversion"/>
  </si>
  <si>
    <t>발형토기, 호형토기, 타날토기편</t>
    <phoneticPr fontId="1" type="noConversion"/>
  </si>
  <si>
    <t>호형토기, 타날문토기편</t>
    <phoneticPr fontId="1" type="noConversion"/>
  </si>
  <si>
    <t>보성 대야리 관동유적</t>
    <phoneticPr fontId="1" type="noConversion"/>
  </si>
  <si>
    <t>세장방형</t>
  </si>
  <si>
    <t>말각장방형</t>
    <phoneticPr fontId="1" type="noConversion"/>
  </si>
  <si>
    <t>선축, 17-1․17-2호 중복. 북단벽 아궁이 및 외줄구들</t>
    <phoneticPr fontId="1" type="noConversion"/>
  </si>
  <si>
    <t>타날토기편, 방추차, 양이부호,호형토기,발형토기</t>
    <phoneticPr fontId="1" type="noConversion"/>
  </si>
  <si>
    <t>후축, 124-2․124-3호 중복
외부돌출배연부,벽구,내주1</t>
    <phoneticPr fontId="1" type="noConversion"/>
  </si>
  <si>
    <t>선축, 124-1․124-2호 중복
벽구,내주1</t>
    <phoneticPr fontId="1" type="noConversion"/>
  </si>
  <si>
    <t>세장방형</t>
    <phoneticPr fontId="1" type="noConversion"/>
  </si>
  <si>
    <t>260</t>
    <phoneticPr fontId="1" type="noConversion"/>
  </si>
  <si>
    <t>47</t>
    <phoneticPr fontId="1" type="noConversion"/>
  </si>
  <si>
    <t>275</t>
    <phoneticPr fontId="1" type="noConversion"/>
  </si>
  <si>
    <t>33</t>
    <phoneticPr fontId="1" type="noConversion"/>
  </si>
  <si>
    <t>442</t>
    <phoneticPr fontId="1" type="noConversion"/>
  </si>
  <si>
    <t>310</t>
    <phoneticPr fontId="1" type="noConversion"/>
  </si>
  <si>
    <t>51</t>
    <phoneticPr fontId="1" type="noConversion"/>
  </si>
  <si>
    <t>545</t>
    <phoneticPr fontId="1" type="noConversion"/>
  </si>
  <si>
    <t>200</t>
    <phoneticPr fontId="1" type="noConversion"/>
  </si>
  <si>
    <t>31</t>
    <phoneticPr fontId="1" type="noConversion"/>
  </si>
  <si>
    <t>37</t>
    <phoneticPr fontId="1" type="noConversion"/>
  </si>
  <si>
    <t>670</t>
    <phoneticPr fontId="1" type="noConversion"/>
  </si>
  <si>
    <t>240</t>
    <phoneticPr fontId="1" type="noConversion"/>
  </si>
  <si>
    <t>680</t>
    <phoneticPr fontId="1" type="noConversion"/>
  </si>
  <si>
    <t>480</t>
    <phoneticPr fontId="1" type="noConversion"/>
  </si>
  <si>
    <t>94</t>
    <phoneticPr fontId="1" type="noConversion"/>
  </si>
  <si>
    <t>320</t>
    <phoneticPr fontId="1" type="noConversion"/>
  </si>
  <si>
    <t>41</t>
    <phoneticPr fontId="1" type="noConversion"/>
  </si>
  <si>
    <t>317</t>
    <phoneticPr fontId="1" type="noConversion"/>
  </si>
  <si>
    <t>23</t>
    <phoneticPr fontId="1" type="noConversion"/>
  </si>
  <si>
    <t>300</t>
    <phoneticPr fontId="1" type="noConversion"/>
  </si>
  <si>
    <t>59</t>
    <phoneticPr fontId="1" type="noConversion"/>
  </si>
  <si>
    <t>147</t>
    <phoneticPr fontId="1" type="noConversion"/>
  </si>
  <si>
    <t>52</t>
    <phoneticPr fontId="1" type="noConversion"/>
  </si>
  <si>
    <t>서단벽 연도</t>
    <phoneticPr fontId="1" type="noConversion"/>
  </si>
  <si>
    <t>아궁이추정 피열흔</t>
    <phoneticPr fontId="1" type="noConversion"/>
  </si>
  <si>
    <t>서단벽 연도, 북서쪽 배연구</t>
    <phoneticPr fontId="1" type="noConversion"/>
  </si>
  <si>
    <t>586</t>
    <phoneticPr fontId="1" type="noConversion"/>
  </si>
  <si>
    <t>150</t>
    <phoneticPr fontId="1" type="noConversion"/>
  </si>
  <si>
    <t>495</t>
    <phoneticPr fontId="1" type="noConversion"/>
  </si>
  <si>
    <t>62</t>
    <phoneticPr fontId="1" type="noConversion"/>
  </si>
  <si>
    <t>53</t>
    <phoneticPr fontId="1" type="noConversion"/>
  </si>
  <si>
    <t>570</t>
    <phoneticPr fontId="1" type="noConversion"/>
  </si>
  <si>
    <t>32</t>
    <phoneticPr fontId="1" type="noConversion"/>
  </si>
  <si>
    <t>사주식 배연구</t>
    <phoneticPr fontId="1" type="noConversion"/>
  </si>
  <si>
    <t>입구부추정 외부돌출구</t>
    <phoneticPr fontId="1" type="noConversion"/>
  </si>
  <si>
    <t>입구부 점토다짐, 불다짐바닥, 화재주거지</t>
    <phoneticPr fontId="1" type="noConversion"/>
  </si>
  <si>
    <t>아궁이추정 피열흔, 입구부추정 외부돌출부</t>
    <phoneticPr fontId="1" type="noConversion"/>
  </si>
  <si>
    <t>대야리관동3구역</t>
    <phoneticPr fontId="1" type="noConversion"/>
  </si>
  <si>
    <t>대야리관동2구역</t>
    <phoneticPr fontId="1" type="noConversion"/>
  </si>
  <si>
    <t>대야리관동1구역</t>
    <phoneticPr fontId="1" type="noConversion"/>
  </si>
  <si>
    <t>대야리관동4구역</t>
    <phoneticPr fontId="1" type="noConversion"/>
  </si>
  <si>
    <t>장흥 신월유적</t>
    <phoneticPr fontId="1" type="noConversion"/>
  </si>
  <si>
    <t>100-1</t>
  </si>
  <si>
    <t>113-1</t>
  </si>
  <si>
    <t>113-2</t>
  </si>
  <si>
    <t>124-1</t>
  </si>
  <si>
    <t>124-2</t>
  </si>
  <si>
    <t>124-3</t>
  </si>
  <si>
    <t>125-1</t>
  </si>
  <si>
    <t>137-1</t>
  </si>
  <si>
    <t>137-2</t>
  </si>
  <si>
    <t>17-1</t>
    <phoneticPr fontId="1" type="noConversion"/>
  </si>
  <si>
    <t>17-3</t>
    <phoneticPr fontId="1" type="noConversion"/>
  </si>
  <si>
    <t>19-1</t>
    <phoneticPr fontId="1" type="noConversion"/>
  </si>
  <si>
    <t>19-2</t>
    <phoneticPr fontId="1" type="noConversion"/>
  </si>
  <si>
    <t>24-1</t>
    <phoneticPr fontId="1" type="noConversion"/>
  </si>
  <si>
    <t>30-1</t>
    <phoneticPr fontId="1" type="noConversion"/>
  </si>
  <si>
    <t>43-1</t>
    <phoneticPr fontId="1" type="noConversion"/>
  </si>
  <si>
    <t>43-2</t>
    <phoneticPr fontId="1" type="noConversion"/>
  </si>
  <si>
    <t>43-3</t>
    <phoneticPr fontId="1" type="noConversion"/>
  </si>
  <si>
    <t>43-4</t>
    <phoneticPr fontId="1" type="noConversion"/>
  </si>
  <si>
    <t>57-1</t>
    <phoneticPr fontId="1" type="noConversion"/>
  </si>
  <si>
    <t>57-2</t>
    <phoneticPr fontId="1" type="noConversion"/>
  </si>
  <si>
    <t>64-1</t>
    <phoneticPr fontId="1" type="noConversion"/>
  </si>
  <si>
    <t>64-2</t>
    <phoneticPr fontId="1" type="noConversion"/>
  </si>
  <si>
    <t>97-1</t>
    <phoneticPr fontId="1" type="noConversion"/>
  </si>
  <si>
    <t>97-2</t>
    <phoneticPr fontId="1" type="noConversion"/>
  </si>
  <si>
    <t>구번호</t>
    <phoneticPr fontId="1" type="noConversion"/>
  </si>
  <si>
    <t>14</t>
    <phoneticPr fontId="1" type="noConversion"/>
  </si>
  <si>
    <t>11-1
(수5)</t>
    <phoneticPr fontId="1" type="noConversion"/>
  </si>
  <si>
    <t>25
(수9)</t>
    <phoneticPr fontId="1" type="noConversion"/>
  </si>
  <si>
    <t>석촉</t>
    <phoneticPr fontId="1" type="noConversion"/>
  </si>
  <si>
    <t>무문토기저부편</t>
    <phoneticPr fontId="1" type="noConversion"/>
  </si>
  <si>
    <t>500</t>
    <phoneticPr fontId="1" type="noConversion"/>
  </si>
  <si>
    <t>430</t>
    <phoneticPr fontId="1" type="noConversion"/>
  </si>
  <si>
    <t>46</t>
    <phoneticPr fontId="1" type="noConversion"/>
  </si>
  <si>
    <t>505</t>
    <phoneticPr fontId="1" type="noConversion"/>
  </si>
  <si>
    <t>390</t>
    <phoneticPr fontId="1" type="noConversion"/>
  </si>
  <si>
    <t>58</t>
    <phoneticPr fontId="1" type="noConversion"/>
  </si>
  <si>
    <t>552</t>
    <phoneticPr fontId="1" type="noConversion"/>
  </si>
  <si>
    <t>34</t>
    <phoneticPr fontId="1" type="noConversion"/>
  </si>
  <si>
    <t>405</t>
    <phoneticPr fontId="1" type="noConversion"/>
  </si>
  <si>
    <t>54</t>
    <phoneticPr fontId="1" type="noConversion"/>
  </si>
  <si>
    <t>반원형부뚜막, 입구돌출부 및 주혈, 입구부 점토층, 내부시설(등간격주혈), 최상면 폐기석재, 바닥탄화목폐기</t>
    <phoneticPr fontId="1" type="noConversion"/>
  </si>
  <si>
    <t>원형부뚜막과 외줄구들, 입구돌출부 및 주혈, ㄱ자형벽구, 최상면폐기석재</t>
    <phoneticPr fontId="1" type="noConversion"/>
  </si>
  <si>
    <t>부뚜막 및 외줄구들, 돌출부, 배연구, 출입 돌출부 및 주혈, ㄷ자형 벽구, 내부주혈, 최상면 폐기석재, 바닥탄화목폐기</t>
    <phoneticPr fontId="1" type="noConversion"/>
  </si>
  <si>
    <t>장란형토기,발형토기,타날토기</t>
    <phoneticPr fontId="1" type="noConversion"/>
  </si>
  <si>
    <t>타날토기, 석촉</t>
    <phoneticPr fontId="1" type="noConversion"/>
  </si>
  <si>
    <t>단경호,타날토기</t>
    <phoneticPr fontId="1" type="noConversion"/>
  </si>
  <si>
    <t>타날토기,석촉</t>
    <phoneticPr fontId="1" type="noConversion"/>
  </si>
  <si>
    <t>말각방형계</t>
  </si>
  <si>
    <t>395</t>
    <phoneticPr fontId="1" type="noConversion"/>
  </si>
  <si>
    <t>365</t>
    <phoneticPr fontId="1" type="noConversion"/>
  </si>
  <si>
    <t>285</t>
    <phoneticPr fontId="1" type="noConversion"/>
  </si>
  <si>
    <t>270</t>
    <phoneticPr fontId="1" type="noConversion"/>
  </si>
  <si>
    <t>66</t>
    <phoneticPr fontId="1" type="noConversion"/>
  </si>
  <si>
    <t>235</t>
    <phoneticPr fontId="1" type="noConversion"/>
  </si>
  <si>
    <t>160</t>
    <phoneticPr fontId="1" type="noConversion"/>
  </si>
  <si>
    <t>272</t>
    <phoneticPr fontId="1" type="noConversion"/>
  </si>
  <si>
    <t>640</t>
    <phoneticPr fontId="1" type="noConversion"/>
  </si>
  <si>
    <t>519</t>
    <phoneticPr fontId="1" type="noConversion"/>
  </si>
  <si>
    <t>173</t>
    <phoneticPr fontId="1" type="noConversion"/>
  </si>
  <si>
    <t>556</t>
    <phoneticPr fontId="1" type="noConversion"/>
  </si>
  <si>
    <t>470</t>
    <phoneticPr fontId="1" type="noConversion"/>
  </si>
  <si>
    <t>75</t>
    <phoneticPr fontId="1" type="noConversion"/>
  </si>
  <si>
    <t>620</t>
    <phoneticPr fontId="1" type="noConversion"/>
  </si>
  <si>
    <t>330</t>
    <phoneticPr fontId="1" type="noConversion"/>
  </si>
  <si>
    <t>104</t>
    <phoneticPr fontId="1" type="noConversion"/>
  </si>
  <si>
    <t>210</t>
    <phoneticPr fontId="1" type="noConversion"/>
  </si>
  <si>
    <t>35</t>
    <phoneticPr fontId="1" type="noConversion"/>
  </si>
  <si>
    <t>510</t>
    <phoneticPr fontId="1" type="noConversion"/>
  </si>
  <si>
    <t>55</t>
    <phoneticPr fontId="1" type="noConversion"/>
  </si>
  <si>
    <t>156</t>
    <phoneticPr fontId="1" type="noConversion"/>
  </si>
  <si>
    <t>375</t>
    <phoneticPr fontId="1" type="noConversion"/>
  </si>
  <si>
    <t>540</t>
    <phoneticPr fontId="1" type="noConversion"/>
  </si>
  <si>
    <t>610</t>
    <phoneticPr fontId="1" type="noConversion"/>
  </si>
  <si>
    <t>220</t>
    <phoneticPr fontId="1" type="noConversion"/>
  </si>
  <si>
    <t>130</t>
    <phoneticPr fontId="1" type="noConversion"/>
  </si>
  <si>
    <t>180</t>
    <phoneticPr fontId="1" type="noConversion"/>
  </si>
  <si>
    <t>단경호편,타날토기,경질무문토기</t>
  </si>
  <si>
    <t>부뚜막, 벽구, 내부수혈, 내부주혈, 최상면폐기석재</t>
    <phoneticPr fontId="1" type="noConversion"/>
  </si>
  <si>
    <t>부뚜막 및 외줄구들, 내부주혈3개, 바닥 탄화목폐기</t>
    <phoneticPr fontId="1" type="noConversion"/>
  </si>
  <si>
    <t>부뚜막 및 외줄구들, 벽구, 출입 돌출부 및 주혈, 내부수혈, 내부주혈, 최상면폐기석재
바닥탄화목폐기</t>
    <phoneticPr fontId="1" type="noConversion"/>
  </si>
  <si>
    <t>부뚜막 및 외줄구들, 최상면 폐기석재</t>
    <phoneticPr fontId="1" type="noConversion"/>
  </si>
  <si>
    <t>아궁이, 외부돌출 배연구, 내부수혈, 대량 내부목주혈,</t>
    <phoneticPr fontId="1" type="noConversion"/>
  </si>
  <si>
    <t>내부수혈, 대량 내부목주혈</t>
    <phoneticPr fontId="1" type="noConversion"/>
  </si>
  <si>
    <t>부뚜막흔, 외줄구들, 외부돌출 배연구, 벽구, 내부주혈, 최상면 폐기석재</t>
    <phoneticPr fontId="1" type="noConversion"/>
  </si>
  <si>
    <t>부뚜막, 외줄구들, 외부돌출 배연구,, 벽구, 내부주혈, 불다짐바닥, 바닥탄화목폐기</t>
    <phoneticPr fontId="1" type="noConversion"/>
  </si>
  <si>
    <t>내부바닥 폐기석재다량</t>
    <phoneticPr fontId="1" type="noConversion"/>
  </si>
  <si>
    <t>내부주혈, 최상면 폐기석재</t>
    <phoneticPr fontId="1" type="noConversion"/>
  </si>
  <si>
    <t>내부수혈1, 추정아궁이수혈1</t>
    <phoneticPr fontId="1" type="noConversion"/>
  </si>
  <si>
    <t>중앙부 주공2개</t>
    <phoneticPr fontId="1" type="noConversion"/>
  </si>
  <si>
    <t>외부돌출배연구, 벽구</t>
    <phoneticPr fontId="1" type="noConversion"/>
  </si>
  <si>
    <t>파수호편,타날토기</t>
    <phoneticPr fontId="1" type="noConversion"/>
  </si>
  <si>
    <t>타날토기,철기편</t>
    <phoneticPr fontId="1" type="noConversion"/>
  </si>
  <si>
    <t>수정</t>
    <phoneticPr fontId="1" type="noConversion"/>
  </si>
  <si>
    <t>타날토기, 시루편</t>
    <phoneticPr fontId="1" type="noConversion"/>
  </si>
  <si>
    <t>타날토기, 수정</t>
    <phoneticPr fontId="1" type="noConversion"/>
  </si>
  <si>
    <t>파수편</t>
    <phoneticPr fontId="1" type="noConversion"/>
  </si>
  <si>
    <t>철기</t>
    <phoneticPr fontId="1" type="noConversion"/>
  </si>
  <si>
    <t>ㄱ</t>
    <phoneticPr fontId="1" type="noConversion"/>
  </si>
  <si>
    <t>ㄷ</t>
    <phoneticPr fontId="1" type="noConversion"/>
  </si>
  <si>
    <t>구들
(흔적)</t>
    <phoneticPr fontId="1" type="noConversion"/>
  </si>
  <si>
    <t>부뚜막
(아궁이)</t>
    <phoneticPr fontId="1" type="noConversion"/>
  </si>
  <si>
    <t>선축, 3-1호 중복 서단벽 추정아궁이,내주2</t>
    <phoneticPr fontId="1" type="noConversion"/>
  </si>
  <si>
    <t>타날토기편, 대호편,마연석</t>
    <phoneticPr fontId="1" type="noConversion"/>
  </si>
  <si>
    <t>돌출부
/입구주혈</t>
    <phoneticPr fontId="1" type="noConversion"/>
  </si>
  <si>
    <t>○○</t>
    <phoneticPr fontId="1" type="noConversion"/>
  </si>
  <si>
    <t>AD210-390</t>
    <phoneticPr fontId="1" type="noConversion"/>
  </si>
  <si>
    <t>AD140-390</t>
    <phoneticPr fontId="1" type="noConversion"/>
  </si>
  <si>
    <t>(</t>
    <phoneticPr fontId="1" type="noConversion"/>
  </si>
  <si>
    <t>돌출배연부, 북동장벽중앙아궁이흔, 집석수혈, 내주1</t>
    <phoneticPr fontId="1" type="noConversion"/>
  </si>
  <si>
    <t>○◎</t>
    <phoneticPr fontId="1" type="noConversion"/>
  </si>
  <si>
    <t>타원형</t>
    <phoneticPr fontId="1" type="noConversion"/>
  </si>
  <si>
    <t>후축, 46호 중복
내주8/수혈가능성높음</t>
    <phoneticPr fontId="1" type="noConversion"/>
  </si>
  <si>
    <t>선축, 52호 가마중북/수혈가능성높음</t>
    <phoneticPr fontId="1" type="noConversion"/>
  </si>
  <si>
    <t>내주4/4주식가능성높음</t>
    <phoneticPr fontId="1" type="noConversion"/>
  </si>
  <si>
    <t>후축, 57-2호 중복
아궁이흔, 장벽중앙부외부배연구, 주혈2/사주식가능성있음</t>
    <phoneticPr fontId="1" type="noConversion"/>
  </si>
  <si>
    <t>이중벽구, 서장벽중앙부 외부돌출구</t>
    <phoneticPr fontId="1" type="noConversion"/>
  </si>
  <si>
    <t>배연돌출부/배수</t>
    <phoneticPr fontId="1" type="noConversion"/>
  </si>
  <si>
    <t>○/●</t>
    <phoneticPr fontId="1" type="noConversion"/>
  </si>
  <si>
    <t>외부돌출부(배연)</t>
    <phoneticPr fontId="1" type="noConversion"/>
  </si>
  <si>
    <t>부뚜막흔, 외줄구들, 외부돌출부(배연),벽구,내주2(4주식가능성?)</t>
    <phoneticPr fontId="1" type="noConversion"/>
  </si>
  <si>
    <t>이중벽구</t>
    <phoneticPr fontId="1" type="noConversion"/>
  </si>
  <si>
    <t>서단벽 연도, 입구돌출, 외줄구들 상부 석재와 토기</t>
    <phoneticPr fontId="1" type="noConversion"/>
  </si>
  <si>
    <t>서단벽 연도, 바닥탄화목, 화재폐기</t>
    <phoneticPr fontId="1" type="noConversion"/>
  </si>
  <si>
    <t>공방추정, 태토더미, 북서단벽 연도, 주공, 수혈</t>
    <phoneticPr fontId="1" type="noConversion"/>
  </si>
  <si>
    <t>내박자</t>
    <phoneticPr fontId="1" type="noConversion"/>
  </si>
  <si>
    <t>주공13, 사주식가능성?</t>
    <phoneticPr fontId="1" type="noConversion"/>
  </si>
  <si>
    <t>토기지주형부뚜막, 서단벽 연도, 사주식가능성?</t>
    <phoneticPr fontId="1" type="noConversion"/>
  </si>
  <si>
    <t>북쪽중앙 기반층이단굴광형부뚜막</t>
    <phoneticPr fontId="1" type="noConversion"/>
  </si>
  <si>
    <t>/○</t>
  </si>
  <si>
    <t>/○</t>
    <phoneticPr fontId="1" type="noConversion"/>
  </si>
  <si>
    <t>서단벽 연도, 유구중앙 장란형토기(연통형토기 형태와 유사) 배수로</t>
    <phoneticPr fontId="1" type="noConversion"/>
  </si>
  <si>
    <t>서단벽 연도, 외부구 주거지와 관계될 가능성있음</t>
    <phoneticPr fontId="1" type="noConversion"/>
  </si>
  <si>
    <t>사업경계와 연결. 서단벽 연도, 북서쪽 배연구</t>
    <phoneticPr fontId="1" type="noConversion"/>
  </si>
  <si>
    <t>배연돌출부 아래 주혈군집</t>
    <phoneticPr fontId="1" type="noConversion"/>
  </si>
  <si>
    <t>?</t>
    <phoneticPr fontId="1" type="noConversion"/>
  </si>
  <si>
    <t>부뚜막 및 외줄구들, 동장벽중앙외부돌출부성격미상, 벽구, 내부주혈,</t>
    <phoneticPr fontId="1" type="noConversion"/>
  </si>
  <si>
    <t>부뚜막 및 외줄구들, 외부돌출 배연구, 내부시설(등간격주혈-침대?선반?)</t>
    <phoneticPr fontId="1" type="noConversion"/>
  </si>
  <si>
    <t>벽주/외부구</t>
    <phoneticPr fontId="1" type="noConversion"/>
  </si>
  <si>
    <t>부뚜막 및 외줄구들, 벽구, 내부주혈, 입구부 점토층, 구들외벽외부구, 불다짐바닥, 바닥탄화목폐기</t>
    <phoneticPr fontId="1" type="noConversion"/>
  </si>
  <si>
    <t>아궁이와 외줄구들, 탄화목화재폐기</t>
    <phoneticPr fontId="1" type="noConversion"/>
  </si>
  <si>
    <t>북쪽모서리아궁이, 벽구</t>
    <phoneticPr fontId="1" type="noConversion"/>
  </si>
  <si>
    <t>사업경계와 연결됨. 부뚜막 및 외줄구들, 내부주혈, 최상면 폐기석재</t>
    <phoneticPr fontId="1" type="noConversion"/>
  </si>
  <si>
    <t>이중굴광, 북쪽모서리에부뚜막, 외부돌출 배연부, 내부주혈3</t>
    <phoneticPr fontId="1" type="noConversion"/>
  </si>
  <si>
    <t xml:space="preserve">판석재부뚜막, 외부돌출 배연구, 내부주혈 </t>
    <phoneticPr fontId="1" type="noConversion"/>
  </si>
  <si>
    <t>성격미상중앙외부돌출부, 내부구, 내부주혈</t>
    <phoneticPr fontId="1" type="noConversion"/>
  </si>
  <si>
    <t>북벽중앙평면이단굴광부뚜막, 외부돌출 배연구, 내부주혈1</t>
    <phoneticPr fontId="1" type="noConversion"/>
  </si>
  <si>
    <t>판석재부뚜막, 외부돌출배연구, 벽구, 내부주혈(4주식)</t>
    <phoneticPr fontId="1" type="noConversion"/>
  </si>
  <si>
    <t>부뚜막, 외줄구들, 돌출배연구, 벽구, 내부주혈(4주식추정?)</t>
    <phoneticPr fontId="1" type="noConversion"/>
  </si>
  <si>
    <t>내부주혈 북동장벽을 따라 시설물로 추정되는 목주열</t>
    <phoneticPr fontId="1" type="noConversion"/>
  </si>
  <si>
    <t>고찰주제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</si>
</sst>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rgb="FF000000"/>
      <name val="한양신명조"/>
      <family val="3"/>
      <charset val="129"/>
    </font>
    <font>
      <u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sz val="14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7"/>
      <color rgb="FF000000"/>
      <name val="맑은 고딕"/>
      <family val="3"/>
      <charset val="129"/>
      <scheme val="minor"/>
    </font>
    <font>
      <b/>
      <sz val="9"/>
      <color rgb="FF000000"/>
      <name val="굴림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  <font>
      <sz val="18"/>
      <color rgb="FF000000"/>
      <name val="맑은 고딕"/>
      <family val="3"/>
      <charset val="129"/>
      <scheme val="minor"/>
    </font>
    <font>
      <b/>
      <sz val="14"/>
      <color rgb="FF000000"/>
      <name val="함초롬바탕"/>
      <family val="1"/>
      <charset val="129"/>
    </font>
    <font>
      <b/>
      <sz val="14"/>
      <color rgb="FF000000"/>
      <name val="함초롬바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rgb="FF000000"/>
      <name val="맑은 고딕"/>
      <family val="1"/>
      <charset val="129"/>
      <scheme val="minor"/>
    </font>
    <font>
      <sz val="12"/>
      <color rgb="FF000000"/>
      <name val="함초롬바탕"/>
      <family val="1"/>
      <charset val="129"/>
    </font>
    <font>
      <sz val="8"/>
      <color rgb="FF000000"/>
      <name val="함초롬바탕"/>
      <family val="1"/>
      <charset val="129"/>
    </font>
    <font>
      <u/>
      <sz val="10"/>
      <color theme="1"/>
      <name val="맑은 고딕"/>
      <family val="3"/>
      <charset val="129"/>
      <scheme val="minor"/>
    </font>
    <font>
      <sz val="9"/>
      <color theme="3" tint="-0.249977111117893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3" tint="-0.249977111117893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FEAF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>
      <alignment vertical="center"/>
    </xf>
    <xf numFmtId="49" fontId="3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>
      <alignment vertical="center"/>
    </xf>
    <xf numFmtId="49" fontId="5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9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justify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4" fillId="5" borderId="1" xfId="0" applyNumberFormat="1" applyFont="1" applyFill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>
      <alignment vertical="center"/>
    </xf>
    <xf numFmtId="0" fontId="11" fillId="5" borderId="1" xfId="0" applyFont="1" applyFill="1" applyBorder="1" applyAlignment="1">
      <alignment horizontal="justify" vertical="center"/>
    </xf>
    <xf numFmtId="49" fontId="5" fillId="5" borderId="1" xfId="0" applyNumberFormat="1" applyFont="1" applyFill="1" applyBorder="1" applyAlignment="1">
      <alignment vertical="center" wrapText="1"/>
    </xf>
    <xf numFmtId="0" fontId="8" fillId="5" borderId="0" xfId="0" applyFont="1" applyFill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0" fontId="10" fillId="0" borderId="0" xfId="0" applyNumberFormat="1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right" vertical="center" indent="1"/>
    </xf>
    <xf numFmtId="0" fontId="12" fillId="0" borderId="1" xfId="0" applyFont="1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0" fillId="0" borderId="5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0" fillId="0" borderId="20" xfId="0" applyFont="1" applyBorder="1">
      <alignment vertical="center"/>
    </xf>
    <xf numFmtId="0" fontId="10" fillId="0" borderId="2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3" borderId="19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0" fontId="0" fillId="0" borderId="8" xfId="0" applyBorder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10" fontId="15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0" fillId="0" borderId="32" xfId="0" applyFont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4" fillId="0" borderId="36" xfId="0" applyFont="1" applyBorder="1" applyAlignment="1">
      <alignment horizontal="justify" vertical="center" wrapText="1"/>
    </xf>
    <xf numFmtId="0" fontId="25" fillId="0" borderId="36" xfId="0" applyFont="1" applyBorder="1" applyAlignment="1">
      <alignment horizontal="center" vertical="center" wrapText="1"/>
    </xf>
    <xf numFmtId="0" fontId="0" fillId="2" borderId="36" xfId="0" applyFill="1" applyBorder="1">
      <alignment vertical="center"/>
    </xf>
    <xf numFmtId="0" fontId="0" fillId="0" borderId="36" xfId="0" applyBorder="1">
      <alignment vertical="center"/>
    </xf>
    <xf numFmtId="0" fontId="24" fillId="0" borderId="28" xfId="0" applyFont="1" applyBorder="1" applyAlignment="1">
      <alignment horizontal="justify" vertical="center" wrapText="1"/>
    </xf>
    <xf numFmtId="0" fontId="24" fillId="0" borderId="28" xfId="0" applyFont="1" applyBorder="1" applyAlignment="1">
      <alignment horizontal="center" vertical="center" wrapText="1"/>
    </xf>
    <xf numFmtId="0" fontId="0" fillId="2" borderId="28" xfId="0" applyFill="1" applyBorder="1">
      <alignment vertical="center"/>
    </xf>
    <xf numFmtId="0" fontId="0" fillId="0" borderId="28" xfId="0" applyBorder="1">
      <alignment vertical="center"/>
    </xf>
    <xf numFmtId="0" fontId="25" fillId="0" borderId="28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justify" vertical="center" wrapText="1"/>
    </xf>
    <xf numFmtId="0" fontId="23" fillId="0" borderId="28" xfId="0" applyFont="1" applyBorder="1" applyAlignment="1">
      <alignment horizontal="center" vertical="center" wrapText="1"/>
    </xf>
    <xf numFmtId="0" fontId="24" fillId="0" borderId="28" xfId="0" applyFont="1" applyBorder="1" applyAlignment="1">
      <alignment vertical="center" wrapText="1"/>
    </xf>
    <xf numFmtId="0" fontId="26" fillId="0" borderId="28" xfId="0" applyFont="1" applyBorder="1" applyAlignment="1">
      <alignment horizontal="justify" vertical="center" wrapText="1"/>
    </xf>
    <xf numFmtId="0" fontId="23" fillId="0" borderId="28" xfId="0" applyFont="1" applyBorder="1" applyAlignment="1">
      <alignment horizontal="justify" vertical="center" wrapText="1"/>
    </xf>
    <xf numFmtId="0" fontId="23" fillId="0" borderId="37" xfId="0" applyFont="1" applyBorder="1" applyAlignment="1">
      <alignment horizontal="justify" vertical="center" wrapText="1"/>
    </xf>
    <xf numFmtId="0" fontId="28" fillId="0" borderId="28" xfId="0" applyFont="1" applyBorder="1" applyAlignment="1">
      <alignment horizontal="justify" vertical="center" wrapText="1"/>
    </xf>
    <xf numFmtId="0" fontId="29" fillId="0" borderId="28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22" fillId="0" borderId="28" xfId="0" applyFont="1" applyBorder="1" applyAlignment="1">
      <alignment horizontal="center" vertical="center" wrapText="1"/>
    </xf>
    <xf numFmtId="0" fontId="30" fillId="0" borderId="28" xfId="0" applyFont="1" applyBorder="1" applyAlignment="1">
      <alignment vertical="center" wrapText="1"/>
    </xf>
    <xf numFmtId="0" fontId="22" fillId="0" borderId="38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justify" vertical="center" wrapText="1"/>
    </xf>
    <xf numFmtId="0" fontId="24" fillId="0" borderId="0" xfId="0" applyFont="1" applyAlignment="1">
      <alignment horizontal="justify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33" fillId="6" borderId="3" xfId="0" applyFont="1" applyFill="1" applyBorder="1" applyAlignment="1">
      <alignment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23" fillId="0" borderId="0" xfId="0" applyFont="1" applyAlignment="1">
      <alignment horizontal="justify" vertical="center" wrapText="1"/>
    </xf>
    <xf numFmtId="0" fontId="3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2" borderId="3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0" fontId="3" fillId="0" borderId="3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5" fillId="0" borderId="3" xfId="0" applyNumberFormat="1" applyFont="1" applyBorder="1" applyAlignment="1">
      <alignment horizontal="center" vertical="center" wrapText="1"/>
    </xf>
    <xf numFmtId="49" fontId="5" fillId="0" borderId="40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40" xfId="0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25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49" fontId="51" fillId="0" borderId="1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vertical="center" wrapText="1"/>
    </xf>
    <xf numFmtId="49" fontId="5" fillId="0" borderId="20" xfId="0" applyNumberFormat="1" applyFont="1" applyBorder="1" applyAlignment="1">
      <alignment vertical="center" wrapText="1"/>
    </xf>
    <xf numFmtId="49" fontId="25" fillId="0" borderId="36" xfId="0" applyNumberFormat="1" applyFont="1" applyBorder="1" applyAlignment="1">
      <alignment horizontal="center" vertical="center" wrapText="1"/>
    </xf>
    <xf numFmtId="49" fontId="25" fillId="0" borderId="28" xfId="0" applyNumberFormat="1" applyFont="1" applyBorder="1" applyAlignment="1">
      <alignment horizontal="center" vertical="center" wrapText="1"/>
    </xf>
    <xf numFmtId="49" fontId="25" fillId="0" borderId="22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4" fillId="5" borderId="10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5" borderId="12" xfId="0" applyNumberFormat="1" applyFont="1" applyFill="1" applyBorder="1" applyAlignment="1">
      <alignment horizontal="center" vertical="center"/>
    </xf>
    <xf numFmtId="49" fontId="4" fillId="5" borderId="13" xfId="0" applyNumberFormat="1" applyFont="1" applyFill="1" applyBorder="1" applyAlignment="1">
      <alignment horizontal="center" vertical="center"/>
    </xf>
    <xf numFmtId="49" fontId="4" fillId="5" borderId="14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5" borderId="8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justify" vertical="center" wrapText="1"/>
    </xf>
    <xf numFmtId="0" fontId="23" fillId="0" borderId="27" xfId="0" applyFont="1" applyBorder="1" applyAlignment="1">
      <alignment horizontal="justify" vertical="center" wrapText="1"/>
    </xf>
    <xf numFmtId="0" fontId="31" fillId="0" borderId="15" xfId="0" applyFont="1" applyBorder="1" applyAlignment="1">
      <alignment horizontal="left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3" fillId="6" borderId="5" xfId="0" applyFont="1" applyFill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33" fillId="6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justify" vertical="center" wrapText="1"/>
    </xf>
    <xf numFmtId="0" fontId="23" fillId="0" borderId="35" xfId="0" applyFont="1" applyBorder="1" applyAlignment="1">
      <alignment horizontal="justify" vertical="center" wrapText="1"/>
    </xf>
    <xf numFmtId="0" fontId="23" fillId="0" borderId="22" xfId="0" applyFont="1" applyBorder="1" applyAlignment="1">
      <alignment horizontal="justify" vertical="center" wrapText="1"/>
    </xf>
    <xf numFmtId="0" fontId="23" fillId="0" borderId="36" xfId="0" applyFont="1" applyBorder="1" applyAlignment="1">
      <alignment horizontal="justify" vertical="center" wrapText="1"/>
    </xf>
    <xf numFmtId="0" fontId="37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42" fillId="0" borderId="5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justify" vertical="center" wrapText="1"/>
    </xf>
    <xf numFmtId="0" fontId="35" fillId="0" borderId="0" xfId="0" applyFont="1" applyAlignment="1">
      <alignment horizontal="left" vertical="center"/>
    </xf>
    <xf numFmtId="0" fontId="35" fillId="0" borderId="15" xfId="0" applyFont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7327</xdr:colOff>
      <xdr:row>12</xdr:row>
      <xdr:rowOff>24842</xdr:rowOff>
    </xdr:from>
    <xdr:to>
      <xdr:col>11</xdr:col>
      <xdr:colOff>688730</xdr:colOff>
      <xdr:row>12</xdr:row>
      <xdr:rowOff>70561</xdr:rowOff>
    </xdr:to>
    <xdr:sp macro="" textlink="">
      <xdr:nvSpPr>
        <xdr:cNvPr id="2" name="_x208348984">
          <a:extLst>
            <a:ext uri="{FF2B5EF4-FFF2-40B4-BE49-F238E27FC236}">
              <a16:creationId xmlns:a16="http://schemas.microsoft.com/office/drawing/2014/main" id="{73644078-3EC0-45C1-884E-007430D8DD14}"/>
            </a:ext>
          </a:extLst>
        </xdr:cNvPr>
        <xdr:cNvSpPr>
          <a:spLocks noChangeArrowheads="1"/>
        </xdr:cNvSpPr>
      </xdr:nvSpPr>
      <xdr:spPr bwMode="auto">
        <a:xfrm>
          <a:off x="5517173" y="2955611"/>
          <a:ext cx="2747595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10</xdr:col>
      <xdr:colOff>8283</xdr:colOff>
      <xdr:row>17</xdr:row>
      <xdr:rowOff>35996</xdr:rowOff>
    </xdr:from>
    <xdr:to>
      <xdr:col>13</xdr:col>
      <xdr:colOff>688730</xdr:colOff>
      <xdr:row>17</xdr:row>
      <xdr:rowOff>81715</xdr:rowOff>
    </xdr:to>
    <xdr:sp macro="" textlink="">
      <xdr:nvSpPr>
        <xdr:cNvPr id="4" name="_x208253752">
          <a:extLst>
            <a:ext uri="{FF2B5EF4-FFF2-40B4-BE49-F238E27FC236}">
              <a16:creationId xmlns:a16="http://schemas.microsoft.com/office/drawing/2014/main" id="{84DE3E2F-E299-4065-B5E7-AFE7695CACDC}"/>
            </a:ext>
          </a:extLst>
        </xdr:cNvPr>
        <xdr:cNvSpPr>
          <a:spLocks noChangeArrowheads="1"/>
        </xdr:cNvSpPr>
      </xdr:nvSpPr>
      <xdr:spPr bwMode="auto">
        <a:xfrm>
          <a:off x="6895591" y="4029169"/>
          <a:ext cx="2746639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23</xdr:row>
      <xdr:rowOff>82822</xdr:rowOff>
    </xdr:from>
    <xdr:to>
      <xdr:col>12</xdr:col>
      <xdr:colOff>1</xdr:colOff>
      <xdr:row>23</xdr:row>
      <xdr:rowOff>140805</xdr:rowOff>
    </xdr:to>
    <xdr:sp macro="" textlink="">
      <xdr:nvSpPr>
        <xdr:cNvPr id="5" name="_x208988792">
          <a:extLst>
            <a:ext uri="{FF2B5EF4-FFF2-40B4-BE49-F238E27FC236}">
              <a16:creationId xmlns:a16="http://schemas.microsoft.com/office/drawing/2014/main" id="{6A8F52CB-60F5-4EC6-931D-959186853192}"/>
            </a:ext>
          </a:extLst>
        </xdr:cNvPr>
        <xdr:cNvSpPr>
          <a:spLocks noChangeArrowheads="1"/>
        </xdr:cNvSpPr>
      </xdr:nvSpPr>
      <xdr:spPr bwMode="auto">
        <a:xfrm>
          <a:off x="8277225" y="7026547"/>
          <a:ext cx="1504951" cy="57983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9532</xdr:colOff>
      <xdr:row>22</xdr:row>
      <xdr:rowOff>77442</xdr:rowOff>
    </xdr:from>
    <xdr:to>
      <xdr:col>9</xdr:col>
      <xdr:colOff>786847</xdr:colOff>
      <xdr:row>22</xdr:row>
      <xdr:rowOff>132522</xdr:rowOff>
    </xdr:to>
    <xdr:sp macro="" textlink="">
      <xdr:nvSpPr>
        <xdr:cNvPr id="6" name="_x208258072">
          <a:extLst>
            <a:ext uri="{FF2B5EF4-FFF2-40B4-BE49-F238E27FC236}">
              <a16:creationId xmlns:a16="http://schemas.microsoft.com/office/drawing/2014/main" id="{B3249FC9-130E-4D8E-97AA-68626D1E3CA7}"/>
            </a:ext>
          </a:extLst>
        </xdr:cNvPr>
        <xdr:cNvSpPr>
          <a:spLocks noChangeArrowheads="1"/>
        </xdr:cNvSpPr>
      </xdr:nvSpPr>
      <xdr:spPr bwMode="auto">
        <a:xfrm>
          <a:off x="6705607" y="6811617"/>
          <a:ext cx="1567890" cy="55080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7325</xdr:colOff>
      <xdr:row>20</xdr:row>
      <xdr:rowOff>45240</xdr:rowOff>
    </xdr:from>
    <xdr:to>
      <xdr:col>9</xdr:col>
      <xdr:colOff>7327</xdr:colOff>
      <xdr:row>20</xdr:row>
      <xdr:rowOff>90959</xdr:rowOff>
    </xdr:to>
    <xdr:sp macro="" textlink="">
      <xdr:nvSpPr>
        <xdr:cNvPr id="9" name="_x208253752">
          <a:extLst>
            <a:ext uri="{FF2B5EF4-FFF2-40B4-BE49-F238E27FC236}">
              <a16:creationId xmlns:a16="http://schemas.microsoft.com/office/drawing/2014/main" id="{C4EC40BB-82C2-44D8-846C-7732B2E048A4}"/>
            </a:ext>
          </a:extLst>
        </xdr:cNvPr>
        <xdr:cNvSpPr>
          <a:spLocks noChangeArrowheads="1"/>
        </xdr:cNvSpPr>
      </xdr:nvSpPr>
      <xdr:spPr bwMode="auto">
        <a:xfrm>
          <a:off x="4139710" y="4675855"/>
          <a:ext cx="2066194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7326</xdr:colOff>
      <xdr:row>15</xdr:row>
      <xdr:rowOff>50650</xdr:rowOff>
    </xdr:from>
    <xdr:to>
      <xdr:col>6</xdr:col>
      <xdr:colOff>366346</xdr:colOff>
      <xdr:row>15</xdr:row>
      <xdr:rowOff>96369</xdr:rowOff>
    </xdr:to>
    <xdr:sp macro="" textlink="">
      <xdr:nvSpPr>
        <xdr:cNvPr id="10" name="_x208350024">
          <a:extLst>
            <a:ext uri="{FF2B5EF4-FFF2-40B4-BE49-F238E27FC236}">
              <a16:creationId xmlns:a16="http://schemas.microsoft.com/office/drawing/2014/main" id="{8684A9E1-9103-4982-B7A3-7837DA3D951A}"/>
            </a:ext>
          </a:extLst>
        </xdr:cNvPr>
        <xdr:cNvSpPr>
          <a:spLocks noChangeArrowheads="1"/>
        </xdr:cNvSpPr>
      </xdr:nvSpPr>
      <xdr:spPr bwMode="auto">
        <a:xfrm>
          <a:off x="4139711" y="3618862"/>
          <a:ext cx="359020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369660</xdr:colOff>
      <xdr:row>15</xdr:row>
      <xdr:rowOff>51352</xdr:rowOff>
    </xdr:from>
    <xdr:to>
      <xdr:col>10</xdr:col>
      <xdr:colOff>688730</xdr:colOff>
      <xdr:row>15</xdr:row>
      <xdr:rowOff>97071</xdr:rowOff>
    </xdr:to>
    <xdr:sp macro="" textlink="">
      <xdr:nvSpPr>
        <xdr:cNvPr id="11" name="_x208603840">
          <a:extLst>
            <a:ext uri="{FF2B5EF4-FFF2-40B4-BE49-F238E27FC236}">
              <a16:creationId xmlns:a16="http://schemas.microsoft.com/office/drawing/2014/main" id="{69D45851-8087-4BD7-A78D-45DB01A5B56C}"/>
            </a:ext>
          </a:extLst>
        </xdr:cNvPr>
        <xdr:cNvSpPr>
          <a:spLocks noChangeArrowheads="1"/>
        </xdr:cNvSpPr>
      </xdr:nvSpPr>
      <xdr:spPr bwMode="auto">
        <a:xfrm>
          <a:off x="4502045" y="3619564"/>
          <a:ext cx="3073993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5</xdr:col>
      <xdr:colOff>685958</xdr:colOff>
      <xdr:row>14</xdr:row>
      <xdr:rowOff>28733</xdr:rowOff>
    </xdr:from>
    <xdr:to>
      <xdr:col>7</xdr:col>
      <xdr:colOff>688730</xdr:colOff>
      <xdr:row>14</xdr:row>
      <xdr:rowOff>74452</xdr:rowOff>
    </xdr:to>
    <xdr:sp macro="" textlink="">
      <xdr:nvSpPr>
        <xdr:cNvPr id="12" name="_x208350024">
          <a:extLst>
            <a:ext uri="{FF2B5EF4-FFF2-40B4-BE49-F238E27FC236}">
              <a16:creationId xmlns:a16="http://schemas.microsoft.com/office/drawing/2014/main" id="{E0360D2F-5EF1-4232-96BA-C945A1FE4DE1}"/>
            </a:ext>
          </a:extLst>
        </xdr:cNvPr>
        <xdr:cNvSpPr>
          <a:spLocks noChangeArrowheads="1"/>
        </xdr:cNvSpPr>
      </xdr:nvSpPr>
      <xdr:spPr bwMode="auto">
        <a:xfrm flipV="1">
          <a:off x="4129612" y="3384464"/>
          <a:ext cx="1380233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7325</xdr:colOff>
      <xdr:row>20</xdr:row>
      <xdr:rowOff>46194</xdr:rowOff>
    </xdr:from>
    <xdr:to>
      <xdr:col>14</xdr:col>
      <xdr:colOff>7327</xdr:colOff>
      <xdr:row>20</xdr:row>
      <xdr:rowOff>91913</xdr:rowOff>
    </xdr:to>
    <xdr:sp macro="" textlink="">
      <xdr:nvSpPr>
        <xdr:cNvPr id="14" name="_x208348984">
          <a:extLst>
            <a:ext uri="{FF2B5EF4-FFF2-40B4-BE49-F238E27FC236}">
              <a16:creationId xmlns:a16="http://schemas.microsoft.com/office/drawing/2014/main" id="{80FC9E6C-0096-4230-97EE-80AB5B7A292F}"/>
            </a:ext>
          </a:extLst>
        </xdr:cNvPr>
        <xdr:cNvSpPr>
          <a:spLocks noChangeArrowheads="1"/>
        </xdr:cNvSpPr>
      </xdr:nvSpPr>
      <xdr:spPr bwMode="auto">
        <a:xfrm>
          <a:off x="6205902" y="4676809"/>
          <a:ext cx="3443656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15</xdr:col>
      <xdr:colOff>18227</xdr:colOff>
      <xdr:row>18</xdr:row>
      <xdr:rowOff>45393</xdr:rowOff>
    </xdr:from>
    <xdr:to>
      <xdr:col>16</xdr:col>
      <xdr:colOff>833</xdr:colOff>
      <xdr:row>18</xdr:row>
      <xdr:rowOff>91112</xdr:rowOff>
    </xdr:to>
    <xdr:sp macro="" textlink="">
      <xdr:nvSpPr>
        <xdr:cNvPr id="15" name="_x208253752">
          <a:extLst>
            <a:ext uri="{FF2B5EF4-FFF2-40B4-BE49-F238E27FC236}">
              <a16:creationId xmlns:a16="http://schemas.microsoft.com/office/drawing/2014/main" id="{D8B24E70-25EE-4C76-8778-36952C661323}"/>
            </a:ext>
          </a:extLst>
        </xdr:cNvPr>
        <xdr:cNvSpPr>
          <a:spLocks noChangeArrowheads="1"/>
        </xdr:cNvSpPr>
      </xdr:nvSpPr>
      <xdr:spPr bwMode="auto">
        <a:xfrm flipV="1">
          <a:off x="10349189" y="4251047"/>
          <a:ext cx="671336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16571</xdr:colOff>
      <xdr:row>18</xdr:row>
      <xdr:rowOff>109998</xdr:rowOff>
    </xdr:from>
    <xdr:to>
      <xdr:col>15</xdr:col>
      <xdr:colOff>684976</xdr:colOff>
      <xdr:row>18</xdr:row>
      <xdr:rowOff>155717</xdr:rowOff>
    </xdr:to>
    <xdr:sp macro="" textlink="">
      <xdr:nvSpPr>
        <xdr:cNvPr id="16" name="_x208253752">
          <a:extLst>
            <a:ext uri="{FF2B5EF4-FFF2-40B4-BE49-F238E27FC236}">
              <a16:creationId xmlns:a16="http://schemas.microsoft.com/office/drawing/2014/main" id="{27E11FD0-9B34-4D10-950E-3E589E970F17}"/>
            </a:ext>
          </a:extLst>
        </xdr:cNvPr>
        <xdr:cNvSpPr>
          <a:spLocks noChangeArrowheads="1"/>
        </xdr:cNvSpPr>
      </xdr:nvSpPr>
      <xdr:spPr bwMode="auto">
        <a:xfrm flipV="1">
          <a:off x="10347533" y="4315652"/>
          <a:ext cx="668405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14</xdr:col>
      <xdr:colOff>5800</xdr:colOff>
      <xdr:row>19</xdr:row>
      <xdr:rowOff>81162</xdr:rowOff>
    </xdr:from>
    <xdr:to>
      <xdr:col>15</xdr:col>
      <xdr:colOff>9527</xdr:colOff>
      <xdr:row>19</xdr:row>
      <xdr:rowOff>126881</xdr:rowOff>
    </xdr:to>
    <xdr:sp macro="" textlink="">
      <xdr:nvSpPr>
        <xdr:cNvPr id="17" name="_x208253752">
          <a:extLst>
            <a:ext uri="{FF2B5EF4-FFF2-40B4-BE49-F238E27FC236}">
              <a16:creationId xmlns:a16="http://schemas.microsoft.com/office/drawing/2014/main" id="{0E74F0EA-28CF-4A5F-B432-0F5D3965AC2C}"/>
            </a:ext>
          </a:extLst>
        </xdr:cNvPr>
        <xdr:cNvSpPr>
          <a:spLocks noChangeArrowheads="1"/>
        </xdr:cNvSpPr>
      </xdr:nvSpPr>
      <xdr:spPr bwMode="auto">
        <a:xfrm flipV="1">
          <a:off x="9648031" y="4499297"/>
          <a:ext cx="692458" cy="45719"/>
        </a:xfrm>
        <a:prstGeom prst="rect">
          <a:avLst/>
        </a:prstGeom>
        <a:solidFill>
          <a:srgbClr val="C00000"/>
        </a:solidFill>
        <a:ln>
          <a:noFill/>
        </a:ln>
      </xdr:spPr>
    </xdr:sp>
    <xdr:clientData/>
  </xdr:twoCellAnchor>
  <xdr:twoCellAnchor>
    <xdr:from>
      <xdr:col>10</xdr:col>
      <xdr:colOff>11595</xdr:colOff>
      <xdr:row>22</xdr:row>
      <xdr:rowOff>86142</xdr:rowOff>
    </xdr:from>
    <xdr:to>
      <xdr:col>12</xdr:col>
      <xdr:colOff>0</xdr:colOff>
      <xdr:row>22</xdr:row>
      <xdr:rowOff>131861</xdr:rowOff>
    </xdr:to>
    <xdr:sp macro="" textlink="">
      <xdr:nvSpPr>
        <xdr:cNvPr id="18" name="_x208348984">
          <a:extLst>
            <a:ext uri="{FF2B5EF4-FFF2-40B4-BE49-F238E27FC236}">
              <a16:creationId xmlns:a16="http://schemas.microsoft.com/office/drawing/2014/main" id="{80C2AEE7-2721-456E-8143-FB132ACF4899}"/>
            </a:ext>
          </a:extLst>
        </xdr:cNvPr>
        <xdr:cNvSpPr>
          <a:spLocks noChangeArrowheads="1"/>
        </xdr:cNvSpPr>
      </xdr:nvSpPr>
      <xdr:spPr bwMode="auto">
        <a:xfrm>
          <a:off x="8288820" y="6820317"/>
          <a:ext cx="1493355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9</xdr:col>
      <xdr:colOff>17266</xdr:colOff>
      <xdr:row>19</xdr:row>
      <xdr:rowOff>87923</xdr:rowOff>
    </xdr:from>
    <xdr:to>
      <xdr:col>10</xdr:col>
      <xdr:colOff>7741</xdr:colOff>
      <xdr:row>19</xdr:row>
      <xdr:rowOff>135873</xdr:rowOff>
    </xdr:to>
    <xdr:sp macro="" textlink="">
      <xdr:nvSpPr>
        <xdr:cNvPr id="19" name="_x208253752">
          <a:extLst>
            <a:ext uri="{FF2B5EF4-FFF2-40B4-BE49-F238E27FC236}">
              <a16:creationId xmlns:a16="http://schemas.microsoft.com/office/drawing/2014/main" id="{706C1C01-FF7B-4209-AE35-5A75458D7A84}"/>
            </a:ext>
          </a:extLst>
        </xdr:cNvPr>
        <xdr:cNvSpPr>
          <a:spLocks noChangeArrowheads="1"/>
        </xdr:cNvSpPr>
      </xdr:nvSpPr>
      <xdr:spPr bwMode="auto">
        <a:xfrm flipV="1">
          <a:off x="6215843" y="4506058"/>
          <a:ext cx="679206" cy="47950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16565</xdr:colOff>
      <xdr:row>23</xdr:row>
      <xdr:rowOff>74543</xdr:rowOff>
    </xdr:from>
    <xdr:to>
      <xdr:col>13</xdr:col>
      <xdr:colOff>728871</xdr:colOff>
      <xdr:row>23</xdr:row>
      <xdr:rowOff>120262</xdr:rowOff>
    </xdr:to>
    <xdr:sp macro="" textlink="">
      <xdr:nvSpPr>
        <xdr:cNvPr id="20" name="_x208348984">
          <a:extLst>
            <a:ext uri="{FF2B5EF4-FFF2-40B4-BE49-F238E27FC236}">
              <a16:creationId xmlns:a16="http://schemas.microsoft.com/office/drawing/2014/main" id="{48A1A4DF-E997-4F86-9957-9C7D31BF4C9E}"/>
            </a:ext>
          </a:extLst>
        </xdr:cNvPr>
        <xdr:cNvSpPr>
          <a:spLocks noChangeArrowheads="1"/>
        </xdr:cNvSpPr>
      </xdr:nvSpPr>
      <xdr:spPr bwMode="auto">
        <a:xfrm>
          <a:off x="9798740" y="7018268"/>
          <a:ext cx="1426681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11</xdr:col>
      <xdr:colOff>13796</xdr:colOff>
      <xdr:row>17</xdr:row>
      <xdr:rowOff>100975</xdr:rowOff>
    </xdr:from>
    <xdr:to>
      <xdr:col>14</xdr:col>
      <xdr:colOff>668949</xdr:colOff>
      <xdr:row>17</xdr:row>
      <xdr:rowOff>146694</xdr:rowOff>
    </xdr:to>
    <xdr:sp macro="" textlink="">
      <xdr:nvSpPr>
        <xdr:cNvPr id="21" name="_x208253752">
          <a:extLst>
            <a:ext uri="{FF2B5EF4-FFF2-40B4-BE49-F238E27FC236}">
              <a16:creationId xmlns:a16="http://schemas.microsoft.com/office/drawing/2014/main" id="{82CA7981-7D7F-4A90-8B83-406210DCF5AD}"/>
            </a:ext>
          </a:extLst>
        </xdr:cNvPr>
        <xdr:cNvSpPr>
          <a:spLocks noChangeArrowheads="1"/>
        </xdr:cNvSpPr>
      </xdr:nvSpPr>
      <xdr:spPr bwMode="auto">
        <a:xfrm flipV="1">
          <a:off x="7589834" y="4094148"/>
          <a:ext cx="2721346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6</xdr:col>
      <xdr:colOff>681403</xdr:colOff>
      <xdr:row>21</xdr:row>
      <xdr:rowOff>61295</xdr:rowOff>
    </xdr:from>
    <xdr:to>
      <xdr:col>10</xdr:col>
      <xdr:colOff>688730</xdr:colOff>
      <xdr:row>21</xdr:row>
      <xdr:rowOff>107014</xdr:rowOff>
    </xdr:to>
    <xdr:sp macro="" textlink="">
      <xdr:nvSpPr>
        <xdr:cNvPr id="25" name="_x208253752">
          <a:extLst>
            <a:ext uri="{FF2B5EF4-FFF2-40B4-BE49-F238E27FC236}">
              <a16:creationId xmlns:a16="http://schemas.microsoft.com/office/drawing/2014/main" id="{4467472A-0E7B-47AA-B635-C270FA94A7B8}"/>
            </a:ext>
          </a:extLst>
        </xdr:cNvPr>
        <xdr:cNvSpPr>
          <a:spLocks noChangeArrowheads="1"/>
        </xdr:cNvSpPr>
      </xdr:nvSpPr>
      <xdr:spPr bwMode="auto">
        <a:xfrm>
          <a:off x="4813788" y="4904391"/>
          <a:ext cx="2762250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688730</xdr:colOff>
      <xdr:row>21</xdr:row>
      <xdr:rowOff>58617</xdr:rowOff>
    </xdr:from>
    <xdr:to>
      <xdr:col>14</xdr:col>
      <xdr:colOff>664241</xdr:colOff>
      <xdr:row>21</xdr:row>
      <xdr:rowOff>107013</xdr:rowOff>
    </xdr:to>
    <xdr:sp macro="" textlink="">
      <xdr:nvSpPr>
        <xdr:cNvPr id="26" name="_x208348984">
          <a:extLst>
            <a:ext uri="{FF2B5EF4-FFF2-40B4-BE49-F238E27FC236}">
              <a16:creationId xmlns:a16="http://schemas.microsoft.com/office/drawing/2014/main" id="{7428DAC6-74FE-4AAC-AAC4-9BFE25B88B85}"/>
            </a:ext>
          </a:extLst>
        </xdr:cNvPr>
        <xdr:cNvSpPr>
          <a:spLocks noChangeArrowheads="1"/>
        </xdr:cNvSpPr>
      </xdr:nvSpPr>
      <xdr:spPr bwMode="auto">
        <a:xfrm>
          <a:off x="7576038" y="4901713"/>
          <a:ext cx="2730434" cy="48396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14</xdr:col>
      <xdr:colOff>8280</xdr:colOff>
      <xdr:row>24</xdr:row>
      <xdr:rowOff>76864</xdr:rowOff>
    </xdr:from>
    <xdr:to>
      <xdr:col>15</xdr:col>
      <xdr:colOff>16563</xdr:colOff>
      <xdr:row>24</xdr:row>
      <xdr:rowOff>122583</xdr:rowOff>
    </xdr:to>
    <xdr:sp macro="" textlink="">
      <xdr:nvSpPr>
        <xdr:cNvPr id="27" name="_x208253752">
          <a:extLst>
            <a:ext uri="{FF2B5EF4-FFF2-40B4-BE49-F238E27FC236}">
              <a16:creationId xmlns:a16="http://schemas.microsoft.com/office/drawing/2014/main" id="{2742138A-AFF7-4A53-809E-94E255156CE2}"/>
            </a:ext>
          </a:extLst>
        </xdr:cNvPr>
        <xdr:cNvSpPr>
          <a:spLocks noChangeArrowheads="1"/>
        </xdr:cNvSpPr>
      </xdr:nvSpPr>
      <xdr:spPr bwMode="auto">
        <a:xfrm flipV="1">
          <a:off x="11238255" y="7230139"/>
          <a:ext cx="722658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5</xdr:col>
      <xdr:colOff>688222</xdr:colOff>
      <xdr:row>12</xdr:row>
      <xdr:rowOff>25740</xdr:rowOff>
    </xdr:from>
    <xdr:to>
      <xdr:col>7</xdr:col>
      <xdr:colOff>672613</xdr:colOff>
      <xdr:row>12</xdr:row>
      <xdr:rowOff>71459</xdr:rowOff>
    </xdr:to>
    <xdr:sp macro="" textlink="">
      <xdr:nvSpPr>
        <xdr:cNvPr id="23" name="_x208348984">
          <a:extLst>
            <a:ext uri="{FF2B5EF4-FFF2-40B4-BE49-F238E27FC236}">
              <a16:creationId xmlns:a16="http://schemas.microsoft.com/office/drawing/2014/main" id="{0F5CD983-2F30-4B70-984E-65F11B8871BE}"/>
            </a:ext>
          </a:extLst>
        </xdr:cNvPr>
        <xdr:cNvSpPr>
          <a:spLocks noChangeArrowheads="1"/>
        </xdr:cNvSpPr>
      </xdr:nvSpPr>
      <xdr:spPr bwMode="auto">
        <a:xfrm>
          <a:off x="4131876" y="2956509"/>
          <a:ext cx="1361852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7327</xdr:colOff>
      <xdr:row>12</xdr:row>
      <xdr:rowOff>24842</xdr:rowOff>
    </xdr:from>
    <xdr:to>
      <xdr:col>11</xdr:col>
      <xdr:colOff>688730</xdr:colOff>
      <xdr:row>12</xdr:row>
      <xdr:rowOff>70561</xdr:rowOff>
    </xdr:to>
    <xdr:sp macro="" textlink="">
      <xdr:nvSpPr>
        <xdr:cNvPr id="2" name="_x208348984">
          <a:extLst>
            <a:ext uri="{FF2B5EF4-FFF2-40B4-BE49-F238E27FC236}">
              <a16:creationId xmlns:a16="http://schemas.microsoft.com/office/drawing/2014/main" id="{AEA0C240-FB60-4AF1-BF10-33AA2F2B0D53}"/>
            </a:ext>
          </a:extLst>
        </xdr:cNvPr>
        <xdr:cNvSpPr>
          <a:spLocks noChangeArrowheads="1"/>
        </xdr:cNvSpPr>
      </xdr:nvSpPr>
      <xdr:spPr bwMode="auto">
        <a:xfrm>
          <a:off x="5493727" y="2939492"/>
          <a:ext cx="2738803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10</xdr:col>
      <xdr:colOff>8283</xdr:colOff>
      <xdr:row>17</xdr:row>
      <xdr:rowOff>35996</xdr:rowOff>
    </xdr:from>
    <xdr:to>
      <xdr:col>13</xdr:col>
      <xdr:colOff>688730</xdr:colOff>
      <xdr:row>17</xdr:row>
      <xdr:rowOff>81715</xdr:rowOff>
    </xdr:to>
    <xdr:sp macro="" textlink="">
      <xdr:nvSpPr>
        <xdr:cNvPr id="3" name="_x208253752">
          <a:extLst>
            <a:ext uri="{FF2B5EF4-FFF2-40B4-BE49-F238E27FC236}">
              <a16:creationId xmlns:a16="http://schemas.microsoft.com/office/drawing/2014/main" id="{73D07B39-77F8-4466-A79D-EF63D41258F9}"/>
            </a:ext>
          </a:extLst>
        </xdr:cNvPr>
        <xdr:cNvSpPr>
          <a:spLocks noChangeArrowheads="1"/>
        </xdr:cNvSpPr>
      </xdr:nvSpPr>
      <xdr:spPr bwMode="auto">
        <a:xfrm>
          <a:off x="6866283" y="3998396"/>
          <a:ext cx="2737847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0</xdr:colOff>
      <xdr:row>23</xdr:row>
      <xdr:rowOff>68168</xdr:rowOff>
    </xdr:from>
    <xdr:to>
      <xdr:col>12</xdr:col>
      <xdr:colOff>1</xdr:colOff>
      <xdr:row>23</xdr:row>
      <xdr:rowOff>126151</xdr:rowOff>
    </xdr:to>
    <xdr:sp macro="" textlink="">
      <xdr:nvSpPr>
        <xdr:cNvPr id="4" name="_x208988792">
          <a:extLst>
            <a:ext uri="{FF2B5EF4-FFF2-40B4-BE49-F238E27FC236}">
              <a16:creationId xmlns:a16="http://schemas.microsoft.com/office/drawing/2014/main" id="{779224A8-A8E5-4CA7-98E1-9E286F686F98}"/>
            </a:ext>
          </a:extLst>
        </xdr:cNvPr>
        <xdr:cNvSpPr>
          <a:spLocks noChangeArrowheads="1"/>
        </xdr:cNvSpPr>
      </xdr:nvSpPr>
      <xdr:spPr bwMode="auto">
        <a:xfrm>
          <a:off x="6887308" y="5336226"/>
          <a:ext cx="1377462" cy="57983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9532</xdr:colOff>
      <xdr:row>22</xdr:row>
      <xdr:rowOff>77442</xdr:rowOff>
    </xdr:from>
    <xdr:to>
      <xdr:col>9</xdr:col>
      <xdr:colOff>786847</xdr:colOff>
      <xdr:row>22</xdr:row>
      <xdr:rowOff>132522</xdr:rowOff>
    </xdr:to>
    <xdr:sp macro="" textlink="">
      <xdr:nvSpPr>
        <xdr:cNvPr id="5" name="_x208258072">
          <a:extLst>
            <a:ext uri="{FF2B5EF4-FFF2-40B4-BE49-F238E27FC236}">
              <a16:creationId xmlns:a16="http://schemas.microsoft.com/office/drawing/2014/main" id="{65C8ACF1-247E-4F66-85AC-555778A402E5}"/>
            </a:ext>
          </a:extLst>
        </xdr:cNvPr>
        <xdr:cNvSpPr>
          <a:spLocks noChangeArrowheads="1"/>
        </xdr:cNvSpPr>
      </xdr:nvSpPr>
      <xdr:spPr bwMode="auto">
        <a:xfrm>
          <a:off x="5495932" y="5087592"/>
          <a:ext cx="1358340" cy="55080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21980</xdr:colOff>
      <xdr:row>20</xdr:row>
      <xdr:rowOff>74547</xdr:rowOff>
    </xdr:from>
    <xdr:to>
      <xdr:col>10</xdr:col>
      <xdr:colOff>197822</xdr:colOff>
      <xdr:row>20</xdr:row>
      <xdr:rowOff>120266</xdr:rowOff>
    </xdr:to>
    <xdr:sp macro="" textlink="">
      <xdr:nvSpPr>
        <xdr:cNvPr id="7" name="_x208253752">
          <a:extLst>
            <a:ext uri="{FF2B5EF4-FFF2-40B4-BE49-F238E27FC236}">
              <a16:creationId xmlns:a16="http://schemas.microsoft.com/office/drawing/2014/main" id="{0575FD21-4F69-4CFA-A601-99514B5F180A}"/>
            </a:ext>
          </a:extLst>
        </xdr:cNvPr>
        <xdr:cNvSpPr>
          <a:spLocks noChangeArrowheads="1"/>
        </xdr:cNvSpPr>
      </xdr:nvSpPr>
      <xdr:spPr bwMode="auto">
        <a:xfrm>
          <a:off x="4822580" y="4665597"/>
          <a:ext cx="2233242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7327</xdr:colOff>
      <xdr:row>15</xdr:row>
      <xdr:rowOff>57977</xdr:rowOff>
    </xdr:from>
    <xdr:to>
      <xdr:col>7</xdr:col>
      <xdr:colOff>0</xdr:colOff>
      <xdr:row>15</xdr:row>
      <xdr:rowOff>109903</xdr:rowOff>
    </xdr:to>
    <xdr:sp macro="" textlink="">
      <xdr:nvSpPr>
        <xdr:cNvPr id="8" name="_x208350024">
          <a:extLst>
            <a:ext uri="{FF2B5EF4-FFF2-40B4-BE49-F238E27FC236}">
              <a16:creationId xmlns:a16="http://schemas.microsoft.com/office/drawing/2014/main" id="{1D2CDBF5-E464-4674-A949-BAE6B9962298}"/>
            </a:ext>
          </a:extLst>
        </xdr:cNvPr>
        <xdr:cNvSpPr>
          <a:spLocks noChangeArrowheads="1"/>
        </xdr:cNvSpPr>
      </xdr:nvSpPr>
      <xdr:spPr bwMode="auto">
        <a:xfrm>
          <a:off x="4139712" y="3626189"/>
          <a:ext cx="681403" cy="51926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3315</xdr:colOff>
      <xdr:row>15</xdr:row>
      <xdr:rowOff>51352</xdr:rowOff>
    </xdr:from>
    <xdr:to>
      <xdr:col>11</xdr:col>
      <xdr:colOff>14654</xdr:colOff>
      <xdr:row>15</xdr:row>
      <xdr:rowOff>97071</xdr:rowOff>
    </xdr:to>
    <xdr:sp macro="" textlink="">
      <xdr:nvSpPr>
        <xdr:cNvPr id="9" name="_x208603840">
          <a:extLst>
            <a:ext uri="{FF2B5EF4-FFF2-40B4-BE49-F238E27FC236}">
              <a16:creationId xmlns:a16="http://schemas.microsoft.com/office/drawing/2014/main" id="{2755741C-348E-44CD-99F7-CDD6362934B4}"/>
            </a:ext>
          </a:extLst>
        </xdr:cNvPr>
        <xdr:cNvSpPr>
          <a:spLocks noChangeArrowheads="1"/>
        </xdr:cNvSpPr>
      </xdr:nvSpPr>
      <xdr:spPr bwMode="auto">
        <a:xfrm>
          <a:off x="4803915" y="3594652"/>
          <a:ext cx="2754539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6</xdr:col>
      <xdr:colOff>685957</xdr:colOff>
      <xdr:row>14</xdr:row>
      <xdr:rowOff>45144</xdr:rowOff>
    </xdr:from>
    <xdr:to>
      <xdr:col>8</xdr:col>
      <xdr:colOff>2196</xdr:colOff>
      <xdr:row>14</xdr:row>
      <xdr:rowOff>90863</xdr:rowOff>
    </xdr:to>
    <xdr:sp macro="" textlink="">
      <xdr:nvSpPr>
        <xdr:cNvPr id="10" name="_x208350024">
          <a:extLst>
            <a:ext uri="{FF2B5EF4-FFF2-40B4-BE49-F238E27FC236}">
              <a16:creationId xmlns:a16="http://schemas.microsoft.com/office/drawing/2014/main" id="{9AA23044-B49C-4963-BC62-16AACEB7032A}"/>
            </a:ext>
          </a:extLst>
        </xdr:cNvPr>
        <xdr:cNvSpPr>
          <a:spLocks noChangeArrowheads="1"/>
        </xdr:cNvSpPr>
      </xdr:nvSpPr>
      <xdr:spPr bwMode="auto">
        <a:xfrm>
          <a:off x="4818342" y="3400875"/>
          <a:ext cx="693700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21978</xdr:colOff>
      <xdr:row>20</xdr:row>
      <xdr:rowOff>75501</xdr:rowOff>
    </xdr:from>
    <xdr:to>
      <xdr:col>13</xdr:col>
      <xdr:colOff>681404</xdr:colOff>
      <xdr:row>20</xdr:row>
      <xdr:rowOff>121220</xdr:rowOff>
    </xdr:to>
    <xdr:sp macro="" textlink="">
      <xdr:nvSpPr>
        <xdr:cNvPr id="11" name="_x208348984">
          <a:extLst>
            <a:ext uri="{FF2B5EF4-FFF2-40B4-BE49-F238E27FC236}">
              <a16:creationId xmlns:a16="http://schemas.microsoft.com/office/drawing/2014/main" id="{0980516F-FEDB-4B33-82A1-0FC59BF51180}"/>
            </a:ext>
          </a:extLst>
        </xdr:cNvPr>
        <xdr:cNvSpPr>
          <a:spLocks noChangeArrowheads="1"/>
        </xdr:cNvSpPr>
      </xdr:nvSpPr>
      <xdr:spPr bwMode="auto">
        <a:xfrm>
          <a:off x="6879978" y="4666551"/>
          <a:ext cx="2716826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15</xdr:col>
      <xdr:colOff>18227</xdr:colOff>
      <xdr:row>18</xdr:row>
      <xdr:rowOff>45393</xdr:rowOff>
    </xdr:from>
    <xdr:to>
      <xdr:col>16</xdr:col>
      <xdr:colOff>833</xdr:colOff>
      <xdr:row>18</xdr:row>
      <xdr:rowOff>91112</xdr:rowOff>
    </xdr:to>
    <xdr:sp macro="" textlink="">
      <xdr:nvSpPr>
        <xdr:cNvPr id="12" name="_x208253752">
          <a:extLst>
            <a:ext uri="{FF2B5EF4-FFF2-40B4-BE49-F238E27FC236}">
              <a16:creationId xmlns:a16="http://schemas.microsoft.com/office/drawing/2014/main" id="{C22011A9-85A1-4791-997C-39573A9C134F}"/>
            </a:ext>
          </a:extLst>
        </xdr:cNvPr>
        <xdr:cNvSpPr>
          <a:spLocks noChangeArrowheads="1"/>
        </xdr:cNvSpPr>
      </xdr:nvSpPr>
      <xdr:spPr bwMode="auto">
        <a:xfrm flipV="1">
          <a:off x="10305227" y="4217343"/>
          <a:ext cx="668406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16571</xdr:colOff>
      <xdr:row>18</xdr:row>
      <xdr:rowOff>109998</xdr:rowOff>
    </xdr:from>
    <xdr:to>
      <xdr:col>15</xdr:col>
      <xdr:colOff>684976</xdr:colOff>
      <xdr:row>18</xdr:row>
      <xdr:rowOff>155717</xdr:rowOff>
    </xdr:to>
    <xdr:sp macro="" textlink="">
      <xdr:nvSpPr>
        <xdr:cNvPr id="13" name="_x208253752">
          <a:extLst>
            <a:ext uri="{FF2B5EF4-FFF2-40B4-BE49-F238E27FC236}">
              <a16:creationId xmlns:a16="http://schemas.microsoft.com/office/drawing/2014/main" id="{52C062F4-B41E-4D74-AC1F-A631EB11D52C}"/>
            </a:ext>
          </a:extLst>
        </xdr:cNvPr>
        <xdr:cNvSpPr>
          <a:spLocks noChangeArrowheads="1"/>
        </xdr:cNvSpPr>
      </xdr:nvSpPr>
      <xdr:spPr bwMode="auto">
        <a:xfrm flipV="1">
          <a:off x="10303571" y="4281948"/>
          <a:ext cx="668405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14</xdr:col>
      <xdr:colOff>5800</xdr:colOff>
      <xdr:row>19</xdr:row>
      <xdr:rowOff>81162</xdr:rowOff>
    </xdr:from>
    <xdr:to>
      <xdr:col>15</xdr:col>
      <xdr:colOff>9527</xdr:colOff>
      <xdr:row>19</xdr:row>
      <xdr:rowOff>126881</xdr:rowOff>
    </xdr:to>
    <xdr:sp macro="" textlink="">
      <xdr:nvSpPr>
        <xdr:cNvPr id="14" name="_x208253752">
          <a:extLst>
            <a:ext uri="{FF2B5EF4-FFF2-40B4-BE49-F238E27FC236}">
              <a16:creationId xmlns:a16="http://schemas.microsoft.com/office/drawing/2014/main" id="{52697E9E-4E8F-4A6C-B679-998042C4736C}"/>
            </a:ext>
          </a:extLst>
        </xdr:cNvPr>
        <xdr:cNvSpPr>
          <a:spLocks noChangeArrowheads="1"/>
        </xdr:cNvSpPr>
      </xdr:nvSpPr>
      <xdr:spPr bwMode="auto">
        <a:xfrm flipV="1">
          <a:off x="9607000" y="4462662"/>
          <a:ext cx="689527" cy="45719"/>
        </a:xfrm>
        <a:prstGeom prst="rect">
          <a:avLst/>
        </a:prstGeom>
        <a:solidFill>
          <a:srgbClr val="C00000"/>
        </a:solidFill>
        <a:ln>
          <a:noFill/>
        </a:ln>
      </xdr:spPr>
    </xdr:sp>
    <xdr:clientData/>
  </xdr:twoCellAnchor>
  <xdr:twoCellAnchor>
    <xdr:from>
      <xdr:col>10</xdr:col>
      <xdr:colOff>11595</xdr:colOff>
      <xdr:row>22</xdr:row>
      <xdr:rowOff>86142</xdr:rowOff>
    </xdr:from>
    <xdr:to>
      <xdr:col>12</xdr:col>
      <xdr:colOff>0</xdr:colOff>
      <xdr:row>22</xdr:row>
      <xdr:rowOff>131861</xdr:rowOff>
    </xdr:to>
    <xdr:sp macro="" textlink="">
      <xdr:nvSpPr>
        <xdr:cNvPr id="15" name="_x208348984">
          <a:extLst>
            <a:ext uri="{FF2B5EF4-FFF2-40B4-BE49-F238E27FC236}">
              <a16:creationId xmlns:a16="http://schemas.microsoft.com/office/drawing/2014/main" id="{2159A73A-FED2-4EDB-8409-BB7A5975B919}"/>
            </a:ext>
          </a:extLst>
        </xdr:cNvPr>
        <xdr:cNvSpPr>
          <a:spLocks noChangeArrowheads="1"/>
        </xdr:cNvSpPr>
      </xdr:nvSpPr>
      <xdr:spPr bwMode="auto">
        <a:xfrm>
          <a:off x="6869595" y="5096292"/>
          <a:ext cx="1360005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9</xdr:col>
      <xdr:colOff>17266</xdr:colOff>
      <xdr:row>19</xdr:row>
      <xdr:rowOff>90154</xdr:rowOff>
    </xdr:from>
    <xdr:to>
      <xdr:col>10</xdr:col>
      <xdr:colOff>7741</xdr:colOff>
      <xdr:row>19</xdr:row>
      <xdr:rowOff>135873</xdr:rowOff>
    </xdr:to>
    <xdr:sp macro="" textlink="">
      <xdr:nvSpPr>
        <xdr:cNvPr id="16" name="_x208253752">
          <a:extLst>
            <a:ext uri="{FF2B5EF4-FFF2-40B4-BE49-F238E27FC236}">
              <a16:creationId xmlns:a16="http://schemas.microsoft.com/office/drawing/2014/main" id="{CF1ABB4B-9D86-4077-B60D-156DC21966CE}"/>
            </a:ext>
          </a:extLst>
        </xdr:cNvPr>
        <xdr:cNvSpPr>
          <a:spLocks noChangeArrowheads="1"/>
        </xdr:cNvSpPr>
      </xdr:nvSpPr>
      <xdr:spPr bwMode="auto">
        <a:xfrm flipV="1">
          <a:off x="6189466" y="4471654"/>
          <a:ext cx="676275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16565</xdr:colOff>
      <xdr:row>23</xdr:row>
      <xdr:rowOff>74543</xdr:rowOff>
    </xdr:from>
    <xdr:to>
      <xdr:col>13</xdr:col>
      <xdr:colOff>728871</xdr:colOff>
      <xdr:row>23</xdr:row>
      <xdr:rowOff>120262</xdr:rowOff>
    </xdr:to>
    <xdr:sp macro="" textlink="">
      <xdr:nvSpPr>
        <xdr:cNvPr id="17" name="_x208348984">
          <a:extLst>
            <a:ext uri="{FF2B5EF4-FFF2-40B4-BE49-F238E27FC236}">
              <a16:creationId xmlns:a16="http://schemas.microsoft.com/office/drawing/2014/main" id="{77B8B326-8BC1-4FC2-AB45-2673B5A7BF15}"/>
            </a:ext>
          </a:extLst>
        </xdr:cNvPr>
        <xdr:cNvSpPr>
          <a:spLocks noChangeArrowheads="1"/>
        </xdr:cNvSpPr>
      </xdr:nvSpPr>
      <xdr:spPr bwMode="auto">
        <a:xfrm>
          <a:off x="8246165" y="5294243"/>
          <a:ext cx="1350481" cy="45719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11</xdr:col>
      <xdr:colOff>13796</xdr:colOff>
      <xdr:row>17</xdr:row>
      <xdr:rowOff>100975</xdr:rowOff>
    </xdr:from>
    <xdr:to>
      <xdr:col>14</xdr:col>
      <xdr:colOff>668949</xdr:colOff>
      <xdr:row>17</xdr:row>
      <xdr:rowOff>146694</xdr:rowOff>
    </xdr:to>
    <xdr:sp macro="" textlink="">
      <xdr:nvSpPr>
        <xdr:cNvPr id="18" name="_x208253752">
          <a:extLst>
            <a:ext uri="{FF2B5EF4-FFF2-40B4-BE49-F238E27FC236}">
              <a16:creationId xmlns:a16="http://schemas.microsoft.com/office/drawing/2014/main" id="{625F650B-B078-4A8B-99C0-CAAACB0F482B}"/>
            </a:ext>
          </a:extLst>
        </xdr:cNvPr>
        <xdr:cNvSpPr>
          <a:spLocks noChangeArrowheads="1"/>
        </xdr:cNvSpPr>
      </xdr:nvSpPr>
      <xdr:spPr bwMode="auto">
        <a:xfrm flipV="1">
          <a:off x="7557596" y="4063375"/>
          <a:ext cx="2712553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7</xdr:col>
      <xdr:colOff>19879</xdr:colOff>
      <xdr:row>21</xdr:row>
      <xdr:rowOff>61295</xdr:rowOff>
    </xdr:from>
    <xdr:to>
      <xdr:col>10</xdr:col>
      <xdr:colOff>3313</xdr:colOff>
      <xdr:row>21</xdr:row>
      <xdr:rowOff>107014</xdr:rowOff>
    </xdr:to>
    <xdr:sp macro="" textlink="">
      <xdr:nvSpPr>
        <xdr:cNvPr id="19" name="_x208253752">
          <a:extLst>
            <a:ext uri="{FF2B5EF4-FFF2-40B4-BE49-F238E27FC236}">
              <a16:creationId xmlns:a16="http://schemas.microsoft.com/office/drawing/2014/main" id="{82D4C52D-2753-4571-A9D1-B107B4C77278}"/>
            </a:ext>
          </a:extLst>
        </xdr:cNvPr>
        <xdr:cNvSpPr>
          <a:spLocks noChangeArrowheads="1"/>
        </xdr:cNvSpPr>
      </xdr:nvSpPr>
      <xdr:spPr bwMode="auto">
        <a:xfrm>
          <a:off x="4820479" y="4861895"/>
          <a:ext cx="2040834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688730</xdr:colOff>
      <xdr:row>21</xdr:row>
      <xdr:rowOff>58617</xdr:rowOff>
    </xdr:from>
    <xdr:to>
      <xdr:col>14</xdr:col>
      <xdr:colOff>664241</xdr:colOff>
      <xdr:row>21</xdr:row>
      <xdr:rowOff>107013</xdr:rowOff>
    </xdr:to>
    <xdr:sp macro="" textlink="">
      <xdr:nvSpPr>
        <xdr:cNvPr id="20" name="_x208348984">
          <a:extLst>
            <a:ext uri="{FF2B5EF4-FFF2-40B4-BE49-F238E27FC236}">
              <a16:creationId xmlns:a16="http://schemas.microsoft.com/office/drawing/2014/main" id="{28A4FD07-4E9E-4939-939F-3420CE1CDD51}"/>
            </a:ext>
          </a:extLst>
        </xdr:cNvPr>
        <xdr:cNvSpPr>
          <a:spLocks noChangeArrowheads="1"/>
        </xdr:cNvSpPr>
      </xdr:nvSpPr>
      <xdr:spPr bwMode="auto">
        <a:xfrm>
          <a:off x="7546730" y="4859217"/>
          <a:ext cx="2718711" cy="48396"/>
        </a:xfrm>
        <a:prstGeom prst="rect">
          <a:avLst/>
        </a:prstGeom>
        <a:solidFill>
          <a:schemeClr val="accent2"/>
        </a:solidFill>
        <a:ln>
          <a:noFill/>
        </a:ln>
      </xdr:spPr>
    </xdr:sp>
    <xdr:clientData/>
  </xdr:twoCellAnchor>
  <xdr:twoCellAnchor>
    <xdr:from>
      <xdr:col>14</xdr:col>
      <xdr:colOff>8280</xdr:colOff>
      <xdr:row>24</xdr:row>
      <xdr:rowOff>76864</xdr:rowOff>
    </xdr:from>
    <xdr:to>
      <xdr:col>15</xdr:col>
      <xdr:colOff>16563</xdr:colOff>
      <xdr:row>24</xdr:row>
      <xdr:rowOff>122583</xdr:rowOff>
    </xdr:to>
    <xdr:sp macro="" textlink="">
      <xdr:nvSpPr>
        <xdr:cNvPr id="21" name="_x208253752">
          <a:extLst>
            <a:ext uri="{FF2B5EF4-FFF2-40B4-BE49-F238E27FC236}">
              <a16:creationId xmlns:a16="http://schemas.microsoft.com/office/drawing/2014/main" id="{F952459D-5E8A-4FF1-89BD-B80A8E5D45A8}"/>
            </a:ext>
          </a:extLst>
        </xdr:cNvPr>
        <xdr:cNvSpPr>
          <a:spLocks noChangeArrowheads="1"/>
        </xdr:cNvSpPr>
      </xdr:nvSpPr>
      <xdr:spPr bwMode="auto">
        <a:xfrm flipV="1">
          <a:off x="9609480" y="5506114"/>
          <a:ext cx="694083" cy="45719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5</xdr:col>
      <xdr:colOff>688222</xdr:colOff>
      <xdr:row>12</xdr:row>
      <xdr:rowOff>25740</xdr:rowOff>
    </xdr:from>
    <xdr:to>
      <xdr:col>7</xdr:col>
      <xdr:colOff>672613</xdr:colOff>
      <xdr:row>12</xdr:row>
      <xdr:rowOff>71459</xdr:rowOff>
    </xdr:to>
    <xdr:sp macro="" textlink="">
      <xdr:nvSpPr>
        <xdr:cNvPr id="22" name="_x208348984">
          <a:extLst>
            <a:ext uri="{FF2B5EF4-FFF2-40B4-BE49-F238E27FC236}">
              <a16:creationId xmlns:a16="http://schemas.microsoft.com/office/drawing/2014/main" id="{FD21DCB5-CBD2-4751-B3F3-2EB3A30A1758}"/>
            </a:ext>
          </a:extLst>
        </xdr:cNvPr>
        <xdr:cNvSpPr>
          <a:spLocks noChangeArrowheads="1"/>
        </xdr:cNvSpPr>
      </xdr:nvSpPr>
      <xdr:spPr bwMode="auto">
        <a:xfrm>
          <a:off x="4117222" y="2940390"/>
          <a:ext cx="1355991" cy="45719"/>
        </a:xfrm>
        <a:prstGeom prst="rect">
          <a:avLst/>
        </a:prstGeom>
        <a:solidFill>
          <a:srgbClr val="35A43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Normal="100" workbookViewId="0">
      <selection activeCell="O25" sqref="O25"/>
    </sheetView>
  </sheetViews>
  <sheetFormatPr defaultColWidth="8.75" defaultRowHeight="16.5"/>
  <cols>
    <col min="1" max="1" width="4.125" style="3" customWidth="1"/>
    <col min="2" max="2" width="14.5" style="1" customWidth="1"/>
    <col min="3" max="3" width="18" style="1" customWidth="1"/>
    <col min="4" max="5" width="10.625" style="1" customWidth="1"/>
    <col min="6" max="6" width="10.75" style="1" customWidth="1"/>
    <col min="7" max="7" width="16.5" style="1" customWidth="1"/>
    <col min="8" max="16384" width="8.75" style="1"/>
  </cols>
  <sheetData>
    <row r="1" spans="1:7" ht="29.25" customHeight="1">
      <c r="A1" s="179" t="s">
        <v>35</v>
      </c>
      <c r="B1" s="179"/>
      <c r="C1" s="179"/>
      <c r="D1" s="179"/>
      <c r="E1" s="179"/>
      <c r="F1" s="179"/>
      <c r="G1" s="179"/>
    </row>
    <row r="2" spans="1:7" s="3" customFormat="1" ht="20.100000000000001" customHeight="1">
      <c r="A2" s="2"/>
      <c r="B2" s="2" t="s">
        <v>15</v>
      </c>
      <c r="C2" s="2"/>
      <c r="D2" s="2" t="s">
        <v>11</v>
      </c>
      <c r="E2" s="2" t="s">
        <v>12</v>
      </c>
      <c r="F2" s="2" t="s">
        <v>13</v>
      </c>
      <c r="G2" s="2" t="s">
        <v>14</v>
      </c>
    </row>
    <row r="3" spans="1:7" ht="20.100000000000001" customHeight="1">
      <c r="A3" s="2">
        <v>1</v>
      </c>
      <c r="B3" s="4" t="s">
        <v>0</v>
      </c>
      <c r="C3" s="4"/>
      <c r="D3" s="4"/>
      <c r="E3" s="4"/>
      <c r="F3" s="4"/>
      <c r="G3" s="4"/>
    </row>
    <row r="4" spans="1:7">
      <c r="A4" s="2">
        <v>2</v>
      </c>
      <c r="B4" s="4" t="s">
        <v>36</v>
      </c>
      <c r="C4" s="4"/>
      <c r="D4" s="8"/>
      <c r="E4" s="8"/>
      <c r="F4" s="6"/>
      <c r="G4" s="9" t="s">
        <v>78</v>
      </c>
    </row>
    <row r="5" spans="1:7" ht="20.100000000000001" customHeight="1">
      <c r="A5" s="2"/>
      <c r="B5" s="4" t="s">
        <v>38</v>
      </c>
      <c r="C5" s="4"/>
      <c r="D5" s="5"/>
      <c r="E5" s="5"/>
      <c r="F5" s="6"/>
      <c r="G5" s="4"/>
    </row>
    <row r="6" spans="1:7" ht="34.9" customHeight="1">
      <c r="A6" s="2">
        <v>3</v>
      </c>
      <c r="B6" s="4" t="s">
        <v>1</v>
      </c>
      <c r="C6" s="181" t="s">
        <v>79</v>
      </c>
      <c r="D6" s="182"/>
      <c r="E6" s="182"/>
      <c r="F6" s="182"/>
      <c r="G6" s="183"/>
    </row>
    <row r="7" spans="1:7" ht="28.9" customHeight="1">
      <c r="A7" s="2"/>
      <c r="B7" s="4"/>
      <c r="C7" s="4" t="s">
        <v>84</v>
      </c>
      <c r="D7" s="5" t="s">
        <v>56</v>
      </c>
      <c r="E7" s="5" t="s">
        <v>57</v>
      </c>
      <c r="F7" s="10" t="s">
        <v>49</v>
      </c>
      <c r="G7" s="4" t="s">
        <v>16</v>
      </c>
    </row>
    <row r="8" spans="1:7" ht="20.100000000000001" customHeight="1">
      <c r="A8" s="2"/>
      <c r="B8" s="4"/>
      <c r="C8" s="11" t="s">
        <v>80</v>
      </c>
      <c r="D8" s="12"/>
      <c r="E8" s="12" t="s">
        <v>39</v>
      </c>
      <c r="F8" s="13"/>
      <c r="G8" s="11" t="s">
        <v>30</v>
      </c>
    </row>
    <row r="9" spans="1:7" ht="20.100000000000001" customHeight="1">
      <c r="A9" s="2"/>
      <c r="B9" s="4"/>
      <c r="C9" s="4" t="s">
        <v>25</v>
      </c>
      <c r="D9" s="5" t="s">
        <v>62</v>
      </c>
      <c r="E9" s="5" t="s">
        <v>64</v>
      </c>
      <c r="F9" s="6" t="s">
        <v>63</v>
      </c>
      <c r="G9" s="4" t="s">
        <v>69</v>
      </c>
    </row>
    <row r="10" spans="1:7" ht="20.100000000000001" customHeight="1">
      <c r="A10" s="2"/>
      <c r="B10" s="4"/>
      <c r="C10" s="4" t="s">
        <v>67</v>
      </c>
      <c r="D10" s="5" t="s">
        <v>65</v>
      </c>
      <c r="E10" s="5" t="s">
        <v>68</v>
      </c>
      <c r="F10" s="6" t="s">
        <v>63</v>
      </c>
      <c r="G10" s="4" t="s">
        <v>61</v>
      </c>
    </row>
    <row r="11" spans="1:7" ht="20.100000000000001" customHeight="1">
      <c r="A11" s="2"/>
      <c r="B11" s="4"/>
      <c r="C11" s="4" t="s">
        <v>66</v>
      </c>
      <c r="D11" s="5" t="s">
        <v>71</v>
      </c>
      <c r="E11" s="5" t="s">
        <v>72</v>
      </c>
      <c r="F11" s="6" t="s">
        <v>73</v>
      </c>
      <c r="G11" s="4" t="s">
        <v>70</v>
      </c>
    </row>
    <row r="12" spans="1:7" ht="20.100000000000001" customHeight="1">
      <c r="A12" s="2">
        <v>4</v>
      </c>
      <c r="B12" s="4" t="s">
        <v>2</v>
      </c>
      <c r="C12" s="4" t="s">
        <v>83</v>
      </c>
      <c r="D12" s="5"/>
      <c r="E12" s="5"/>
      <c r="F12" s="6"/>
      <c r="G12" s="4"/>
    </row>
    <row r="13" spans="1:7" ht="27.6" customHeight="1">
      <c r="A13" s="2"/>
      <c r="B13" s="4"/>
      <c r="C13" s="4" t="s">
        <v>18</v>
      </c>
      <c r="D13" s="5" t="s">
        <v>54</v>
      </c>
      <c r="E13" s="5" t="s">
        <v>55</v>
      </c>
      <c r="F13" s="10" t="s">
        <v>49</v>
      </c>
      <c r="G13" s="4" t="s">
        <v>16</v>
      </c>
    </row>
    <row r="14" spans="1:7" ht="20.100000000000001" customHeight="1">
      <c r="A14" s="2"/>
      <c r="B14" s="4"/>
      <c r="C14" s="4" t="s">
        <v>24</v>
      </c>
      <c r="D14" s="5" t="s">
        <v>54</v>
      </c>
      <c r="E14" s="5" t="s">
        <v>55</v>
      </c>
      <c r="F14" s="6" t="s">
        <v>77</v>
      </c>
      <c r="G14" s="4" t="s">
        <v>48</v>
      </c>
    </row>
    <row r="15" spans="1:7" ht="20.100000000000001" customHeight="1">
      <c r="A15" s="2"/>
      <c r="B15" s="4"/>
      <c r="C15" s="11" t="s">
        <v>29</v>
      </c>
      <c r="D15" s="12"/>
      <c r="E15" s="12" t="s">
        <v>81</v>
      </c>
      <c r="F15" s="13"/>
      <c r="G15" s="11" t="s">
        <v>30</v>
      </c>
    </row>
    <row r="16" spans="1:7" ht="20.100000000000001" customHeight="1">
      <c r="A16" s="2"/>
      <c r="B16" s="4"/>
      <c r="C16" s="11" t="s">
        <v>21</v>
      </c>
      <c r="D16" s="12"/>
      <c r="E16" s="12" t="s">
        <v>82</v>
      </c>
      <c r="F16" s="13"/>
      <c r="G16" s="11" t="s">
        <v>30</v>
      </c>
    </row>
    <row r="17" spans="1:9" ht="20.100000000000001" customHeight="1">
      <c r="A17" s="2"/>
      <c r="B17" s="4"/>
      <c r="C17" s="4" t="s">
        <v>58</v>
      </c>
      <c r="D17" s="5" t="s">
        <v>59</v>
      </c>
      <c r="E17" s="5" t="s">
        <v>60</v>
      </c>
      <c r="F17" s="6" t="s">
        <v>37</v>
      </c>
      <c r="G17" s="4" t="s">
        <v>61</v>
      </c>
    </row>
    <row r="18" spans="1:9" ht="20.100000000000001" customHeight="1">
      <c r="A18" s="2">
        <v>5</v>
      </c>
      <c r="B18" s="4" t="s">
        <v>3</v>
      </c>
      <c r="C18" s="4"/>
      <c r="D18" s="5"/>
      <c r="E18" s="5"/>
      <c r="F18" s="6"/>
      <c r="G18" s="4"/>
    </row>
    <row r="19" spans="1:9" ht="20.100000000000001" customHeight="1">
      <c r="A19" s="2"/>
      <c r="B19" s="4"/>
      <c r="C19" s="4" t="s">
        <v>4</v>
      </c>
      <c r="D19" s="5" t="s">
        <v>50</v>
      </c>
      <c r="E19" s="5" t="s">
        <v>51</v>
      </c>
      <c r="F19" s="6" t="s">
        <v>37</v>
      </c>
      <c r="G19" s="4" t="s">
        <v>16</v>
      </c>
    </row>
    <row r="20" spans="1:9" ht="20.100000000000001" customHeight="1">
      <c r="A20" s="2"/>
      <c r="B20" s="4"/>
      <c r="C20" s="4" t="s">
        <v>22</v>
      </c>
      <c r="D20" s="5" t="s">
        <v>43</v>
      </c>
      <c r="E20" s="5" t="s">
        <v>45</v>
      </c>
      <c r="F20" s="4"/>
      <c r="G20" s="4" t="s">
        <v>31</v>
      </c>
      <c r="I20" s="7" t="s">
        <v>19</v>
      </c>
    </row>
    <row r="21" spans="1:9" ht="20.100000000000001" customHeight="1">
      <c r="A21" s="2"/>
      <c r="B21" s="4"/>
      <c r="C21" s="4" t="s">
        <v>20</v>
      </c>
      <c r="D21" s="5" t="s">
        <v>44</v>
      </c>
      <c r="E21" s="5" t="s">
        <v>40</v>
      </c>
      <c r="F21" s="4"/>
      <c r="G21" s="4" t="s">
        <v>46</v>
      </c>
    </row>
    <row r="22" spans="1:9" ht="30" customHeight="1">
      <c r="A22" s="2"/>
      <c r="B22" s="4"/>
      <c r="C22" s="4" t="s">
        <v>33</v>
      </c>
      <c r="D22" s="5" t="s">
        <v>52</v>
      </c>
      <c r="E22" s="5" t="s">
        <v>53</v>
      </c>
      <c r="F22" s="10" t="s">
        <v>49</v>
      </c>
      <c r="G22" s="4" t="s">
        <v>16</v>
      </c>
    </row>
    <row r="23" spans="1:9" ht="20.100000000000001" customHeight="1">
      <c r="A23" s="2"/>
      <c r="B23" s="4"/>
      <c r="C23" s="4" t="s">
        <v>26</v>
      </c>
      <c r="D23" s="5"/>
      <c r="E23" s="5" t="s">
        <v>47</v>
      </c>
      <c r="F23" s="6"/>
      <c r="G23" s="4" t="s">
        <v>23</v>
      </c>
    </row>
    <row r="24" spans="1:9" ht="20.100000000000001" customHeight="1">
      <c r="A24" s="2">
        <v>6</v>
      </c>
      <c r="B24" s="4" t="s">
        <v>5</v>
      </c>
      <c r="C24" s="4"/>
      <c r="D24" s="5" t="s">
        <v>74</v>
      </c>
      <c r="E24" s="5" t="s">
        <v>74</v>
      </c>
      <c r="F24" s="6"/>
      <c r="G24" s="4" t="s">
        <v>32</v>
      </c>
    </row>
    <row r="25" spans="1:9" ht="20.100000000000001" customHeight="1">
      <c r="A25" s="2">
        <v>7</v>
      </c>
      <c r="B25" s="11" t="s">
        <v>6</v>
      </c>
      <c r="C25" s="4"/>
      <c r="D25" s="5"/>
      <c r="E25" s="5"/>
      <c r="F25" s="6"/>
      <c r="G25" s="4"/>
    </row>
    <row r="26" spans="1:9" ht="23.25" customHeight="1">
      <c r="A26" s="2"/>
      <c r="B26" s="11"/>
      <c r="C26" s="11" t="s">
        <v>17</v>
      </c>
      <c r="D26" s="12" t="s">
        <v>43</v>
      </c>
      <c r="E26" s="12" t="s">
        <v>43</v>
      </c>
      <c r="F26" s="13"/>
      <c r="G26" s="11" t="s">
        <v>34</v>
      </c>
    </row>
    <row r="27" spans="1:9" ht="20.100000000000001" customHeight="1">
      <c r="A27" s="2"/>
      <c r="B27" s="11"/>
      <c r="C27" s="11" t="s">
        <v>27</v>
      </c>
      <c r="D27" s="12" t="s">
        <v>74</v>
      </c>
      <c r="E27" s="12" t="s">
        <v>74</v>
      </c>
      <c r="F27" s="13"/>
      <c r="G27" s="11" t="s">
        <v>75</v>
      </c>
    </row>
    <row r="28" spans="1:9" ht="20.100000000000001" customHeight="1">
      <c r="A28" s="2">
        <v>8</v>
      </c>
      <c r="B28" s="11" t="s">
        <v>7</v>
      </c>
      <c r="C28" s="11"/>
      <c r="D28" s="12" t="s">
        <v>42</v>
      </c>
      <c r="E28" s="12" t="s">
        <v>42</v>
      </c>
      <c r="F28" s="13"/>
      <c r="G28" s="11" t="s">
        <v>30</v>
      </c>
    </row>
    <row r="29" spans="1:9" ht="20.100000000000001" customHeight="1">
      <c r="A29" s="2">
        <v>9</v>
      </c>
      <c r="B29" s="11" t="s">
        <v>8</v>
      </c>
      <c r="C29" s="11"/>
      <c r="D29" s="11"/>
      <c r="E29" s="11"/>
      <c r="F29" s="11"/>
      <c r="G29" s="11" t="s">
        <v>75</v>
      </c>
    </row>
    <row r="30" spans="1:9" ht="20.100000000000001" customHeight="1">
      <c r="A30" s="2">
        <v>10</v>
      </c>
      <c r="B30" s="11" t="s">
        <v>9</v>
      </c>
      <c r="C30" s="11"/>
      <c r="D30" s="11"/>
      <c r="E30" s="11" t="s">
        <v>41</v>
      </c>
      <c r="F30" s="11"/>
      <c r="G30" s="11" t="s">
        <v>28</v>
      </c>
    </row>
    <row r="31" spans="1:9" ht="20.100000000000001" customHeight="1">
      <c r="A31" s="2">
        <v>11</v>
      </c>
      <c r="B31" s="11" t="s">
        <v>10</v>
      </c>
      <c r="C31" s="11"/>
      <c r="D31" s="11"/>
      <c r="E31" s="11"/>
      <c r="F31" s="11"/>
      <c r="G31" s="11" t="s">
        <v>76</v>
      </c>
    </row>
    <row r="32" spans="1:9">
      <c r="C32" s="180"/>
      <c r="D32" s="180"/>
      <c r="E32" s="180"/>
      <c r="F32" s="180"/>
    </row>
    <row r="33" spans="2:2">
      <c r="B33" s="7"/>
    </row>
  </sheetData>
  <mergeCells count="3">
    <mergeCell ref="A1:G1"/>
    <mergeCell ref="C32:F32"/>
    <mergeCell ref="C6:G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4"/>
  <sheetViews>
    <sheetView topLeftCell="A148" zoomScale="115" zoomScaleNormal="115" workbookViewId="0">
      <selection activeCell="Q263" sqref="Q263"/>
    </sheetView>
  </sheetViews>
  <sheetFormatPr defaultRowHeight="16.5"/>
  <cols>
    <col min="1" max="1" width="4.5" style="1" bestFit="1" customWidth="1"/>
    <col min="2" max="2" width="6" style="1" bestFit="1" customWidth="1"/>
    <col min="3" max="3" width="5.375" style="1" customWidth="1"/>
    <col min="4" max="4" width="2.375" style="1" customWidth="1"/>
    <col min="5" max="5" width="3.75" style="1" customWidth="1"/>
    <col min="6" max="6" width="4.75" style="3" bestFit="1" customWidth="1"/>
    <col min="7" max="8" width="4.5" style="1" bestFit="1" customWidth="1"/>
    <col min="9" max="9" width="4.875" style="1" customWidth="1"/>
    <col min="10" max="10" width="4.5" style="1" bestFit="1" customWidth="1"/>
    <col min="11" max="11" width="4.625" style="1" customWidth="1"/>
    <col min="12" max="12" width="4.5" style="1" bestFit="1" customWidth="1"/>
    <col min="13" max="13" width="4.5" style="1" customWidth="1"/>
    <col min="14" max="14" width="16.5" style="16" customWidth="1"/>
  </cols>
  <sheetData>
    <row r="1" spans="1:14" ht="33.75" customHeight="1">
      <c r="A1" s="207" t="s">
        <v>146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</row>
    <row r="2" spans="1:14">
      <c r="A2" s="209" t="s">
        <v>96</v>
      </c>
      <c r="B2" s="209" t="s">
        <v>97</v>
      </c>
      <c r="C2" s="198" t="s">
        <v>98</v>
      </c>
      <c r="D2" s="199"/>
      <c r="E2" s="184" t="s">
        <v>196</v>
      </c>
      <c r="F2" s="216" t="s">
        <v>129</v>
      </c>
      <c r="G2" s="209" t="s">
        <v>105</v>
      </c>
      <c r="H2" s="209"/>
      <c r="I2" s="205" t="s">
        <v>102</v>
      </c>
      <c r="J2" s="215"/>
      <c r="K2" s="215"/>
      <c r="L2" s="215"/>
      <c r="M2" s="206"/>
      <c r="N2" s="14"/>
    </row>
    <row r="3" spans="1:14" ht="24">
      <c r="A3" s="209"/>
      <c r="B3" s="209"/>
      <c r="C3" s="202"/>
      <c r="D3" s="203"/>
      <c r="E3" s="185"/>
      <c r="F3" s="217"/>
      <c r="G3" s="14" t="s">
        <v>103</v>
      </c>
      <c r="H3" s="14" t="s">
        <v>104</v>
      </c>
      <c r="I3" s="14" t="s">
        <v>99</v>
      </c>
      <c r="J3" s="14" t="s">
        <v>135</v>
      </c>
      <c r="K3" s="17" t="s">
        <v>134</v>
      </c>
      <c r="L3" s="17" t="s">
        <v>133</v>
      </c>
      <c r="M3" s="14" t="s">
        <v>128</v>
      </c>
      <c r="N3" s="14" t="s">
        <v>101</v>
      </c>
    </row>
    <row r="4" spans="1:14">
      <c r="A4" s="184"/>
      <c r="B4" s="184"/>
      <c r="C4" s="198" t="s">
        <v>127</v>
      </c>
      <c r="D4" s="199"/>
      <c r="E4" s="18"/>
      <c r="F4" s="14">
        <v>1</v>
      </c>
      <c r="G4" s="14"/>
      <c r="H4" s="14"/>
      <c r="I4" s="14"/>
      <c r="J4" s="14"/>
      <c r="K4" s="17"/>
      <c r="L4" s="17"/>
      <c r="M4" s="14"/>
      <c r="N4" s="14"/>
    </row>
    <row r="5" spans="1:14">
      <c r="A5" s="185"/>
      <c r="B5" s="185"/>
      <c r="C5" s="202"/>
      <c r="D5" s="203"/>
      <c r="E5" s="19"/>
      <c r="F5" s="14">
        <v>2</v>
      </c>
      <c r="G5" s="14"/>
      <c r="H5" s="14"/>
      <c r="I5" s="14"/>
      <c r="J5" s="14"/>
      <c r="K5" s="17"/>
      <c r="L5" s="17"/>
      <c r="M5" s="14"/>
      <c r="N5" s="14"/>
    </row>
    <row r="6" spans="1:14">
      <c r="A6" s="209">
        <v>1</v>
      </c>
      <c r="B6" s="210" t="s">
        <v>153</v>
      </c>
      <c r="C6" s="198" t="s">
        <v>161</v>
      </c>
      <c r="D6" s="199"/>
      <c r="E6" s="20" t="s">
        <v>308</v>
      </c>
      <c r="F6" s="14" t="s">
        <v>197</v>
      </c>
      <c r="G6" s="20"/>
      <c r="H6" s="20"/>
      <c r="I6" s="20"/>
      <c r="J6" s="20"/>
      <c r="K6" s="20"/>
      <c r="L6" s="20"/>
      <c r="M6" s="20"/>
      <c r="N6" s="15"/>
    </row>
    <row r="7" spans="1:14">
      <c r="A7" s="209"/>
      <c r="B7" s="210"/>
      <c r="C7" s="200"/>
      <c r="D7" s="201"/>
      <c r="E7" s="20" t="s">
        <v>165</v>
      </c>
      <c r="F7" s="14" t="s">
        <v>165</v>
      </c>
      <c r="G7" s="20"/>
      <c r="H7" s="20"/>
      <c r="I7" s="20"/>
      <c r="J7" s="20"/>
      <c r="K7" s="20"/>
      <c r="L7" s="20"/>
      <c r="M7" s="20"/>
      <c r="N7" s="15"/>
    </row>
    <row r="8" spans="1:14">
      <c r="A8" s="209"/>
      <c r="B8" s="210"/>
      <c r="C8" s="200"/>
      <c r="D8" s="201"/>
      <c r="E8" s="20" t="s">
        <v>167</v>
      </c>
      <c r="F8" s="14" t="s">
        <v>167</v>
      </c>
      <c r="G8" s="20"/>
      <c r="H8" s="20"/>
      <c r="I8" s="20"/>
      <c r="J8" s="20"/>
      <c r="K8" s="20"/>
      <c r="L8" s="20"/>
      <c r="M8" s="20"/>
      <c r="N8" s="15"/>
    </row>
    <row r="9" spans="1:14">
      <c r="A9" s="209"/>
      <c r="B9" s="210"/>
      <c r="C9" s="200"/>
      <c r="D9" s="201"/>
      <c r="E9" s="20" t="s">
        <v>169</v>
      </c>
      <c r="F9" s="14" t="s">
        <v>169</v>
      </c>
      <c r="G9" s="20"/>
      <c r="H9" s="20"/>
      <c r="I9" s="20"/>
      <c r="J9" s="20"/>
      <c r="K9" s="20"/>
      <c r="L9" s="20"/>
      <c r="M9" s="20"/>
      <c r="N9" s="15"/>
    </row>
    <row r="10" spans="1:14">
      <c r="A10" s="209"/>
      <c r="B10" s="210"/>
      <c r="C10" s="200"/>
      <c r="D10" s="201"/>
      <c r="E10" s="20" t="s">
        <v>198</v>
      </c>
      <c r="F10" s="14" t="s">
        <v>198</v>
      </c>
      <c r="G10" s="20"/>
      <c r="H10" s="20"/>
      <c r="I10" s="20"/>
      <c r="J10" s="20"/>
      <c r="K10" s="20"/>
      <c r="L10" s="20"/>
      <c r="M10" s="20"/>
      <c r="N10" s="15"/>
    </row>
    <row r="11" spans="1:14">
      <c r="A11" s="209"/>
      <c r="B11" s="210"/>
      <c r="C11" s="200"/>
      <c r="D11" s="201"/>
      <c r="E11" s="20" t="s">
        <v>199</v>
      </c>
      <c r="F11" s="14" t="s">
        <v>199</v>
      </c>
      <c r="G11" s="20"/>
      <c r="H11" s="20"/>
      <c r="I11" s="20"/>
      <c r="J11" s="20"/>
      <c r="K11" s="20"/>
      <c r="L11" s="20"/>
      <c r="M11" s="20"/>
      <c r="N11" s="15"/>
    </row>
    <row r="12" spans="1:14">
      <c r="A12" s="209"/>
      <c r="B12" s="210"/>
      <c r="C12" s="200"/>
      <c r="D12" s="201"/>
      <c r="E12" s="20" t="s">
        <v>200</v>
      </c>
      <c r="F12" s="14" t="s">
        <v>200</v>
      </c>
      <c r="G12" s="20"/>
      <c r="H12" s="20"/>
      <c r="I12" s="20"/>
      <c r="J12" s="20"/>
      <c r="K12" s="20"/>
      <c r="L12" s="20"/>
      <c r="M12" s="20"/>
      <c r="N12" s="15"/>
    </row>
    <row r="13" spans="1:14">
      <c r="A13" s="209"/>
      <c r="B13" s="210"/>
      <c r="C13" s="200"/>
      <c r="D13" s="201"/>
      <c r="E13" s="20" t="s">
        <v>201</v>
      </c>
      <c r="F13" s="14" t="s">
        <v>201</v>
      </c>
      <c r="G13" s="20"/>
      <c r="H13" s="20"/>
      <c r="I13" s="20"/>
      <c r="J13" s="20"/>
      <c r="K13" s="20"/>
      <c r="L13" s="20"/>
      <c r="M13" s="20"/>
      <c r="N13" s="15"/>
    </row>
    <row r="14" spans="1:14">
      <c r="A14" s="209"/>
      <c r="B14" s="210"/>
      <c r="C14" s="200"/>
      <c r="D14" s="201"/>
      <c r="E14" s="20" t="s">
        <v>202</v>
      </c>
      <c r="F14" s="14" t="s">
        <v>202</v>
      </c>
      <c r="G14" s="20"/>
      <c r="H14" s="20"/>
      <c r="I14" s="20"/>
      <c r="J14" s="20"/>
      <c r="K14" s="20"/>
      <c r="L14" s="20"/>
      <c r="M14" s="20"/>
      <c r="N14" s="15"/>
    </row>
    <row r="15" spans="1:14">
      <c r="A15" s="209"/>
      <c r="B15" s="210"/>
      <c r="C15" s="200"/>
      <c r="D15" s="201"/>
      <c r="E15" s="20" t="s">
        <v>203</v>
      </c>
      <c r="F15" s="14" t="s">
        <v>203</v>
      </c>
      <c r="G15" s="20"/>
      <c r="H15" s="20"/>
      <c r="I15" s="20"/>
      <c r="J15" s="20"/>
      <c r="K15" s="20"/>
      <c r="L15" s="20"/>
      <c r="M15" s="20"/>
      <c r="N15" s="15"/>
    </row>
    <row r="16" spans="1:14">
      <c r="A16" s="209"/>
      <c r="B16" s="210"/>
      <c r="C16" s="200"/>
      <c r="D16" s="201"/>
      <c r="E16" s="20" t="s">
        <v>204</v>
      </c>
      <c r="F16" s="14" t="s">
        <v>204</v>
      </c>
      <c r="G16" s="20"/>
      <c r="H16" s="20"/>
      <c r="I16" s="20"/>
      <c r="J16" s="20"/>
      <c r="K16" s="20"/>
      <c r="L16" s="20"/>
      <c r="M16" s="20"/>
      <c r="N16" s="15"/>
    </row>
    <row r="17" spans="1:14">
      <c r="A17" s="209"/>
      <c r="B17" s="210"/>
      <c r="C17" s="200"/>
      <c r="D17" s="201"/>
      <c r="E17" s="20" t="s">
        <v>205</v>
      </c>
      <c r="F17" s="14" t="s">
        <v>205</v>
      </c>
      <c r="G17" s="20"/>
      <c r="H17" s="20"/>
      <c r="I17" s="20"/>
      <c r="J17" s="20"/>
      <c r="K17" s="20"/>
      <c r="L17" s="20"/>
      <c r="M17" s="20"/>
      <c r="N17" s="15"/>
    </row>
    <row r="18" spans="1:14">
      <c r="A18" s="209"/>
      <c r="B18" s="210"/>
      <c r="C18" s="200"/>
      <c r="D18" s="201"/>
      <c r="E18" s="20" t="s">
        <v>206</v>
      </c>
      <c r="F18" s="14" t="s">
        <v>206</v>
      </c>
      <c r="G18" s="20"/>
      <c r="H18" s="20"/>
      <c r="I18" s="20"/>
      <c r="J18" s="20"/>
      <c r="K18" s="20"/>
      <c r="L18" s="20"/>
      <c r="M18" s="20"/>
      <c r="N18" s="15"/>
    </row>
    <row r="19" spans="1:14">
      <c r="A19" s="209"/>
      <c r="B19" s="210"/>
      <c r="C19" s="200"/>
      <c r="D19" s="201"/>
      <c r="E19" s="20" t="s">
        <v>207</v>
      </c>
      <c r="F19" s="14" t="s">
        <v>207</v>
      </c>
      <c r="G19" s="20"/>
      <c r="H19" s="20"/>
      <c r="I19" s="20"/>
      <c r="J19" s="20"/>
      <c r="K19" s="20"/>
      <c r="L19" s="20"/>
      <c r="M19" s="20"/>
      <c r="N19" s="15"/>
    </row>
    <row r="20" spans="1:14">
      <c r="A20" s="209"/>
      <c r="B20" s="210"/>
      <c r="C20" s="200"/>
      <c r="D20" s="201"/>
      <c r="E20" s="20" t="s">
        <v>208</v>
      </c>
      <c r="F20" s="14" t="s">
        <v>208</v>
      </c>
      <c r="G20" s="20"/>
      <c r="H20" s="20"/>
      <c r="I20" s="20"/>
      <c r="J20" s="20"/>
      <c r="K20" s="20"/>
      <c r="L20" s="20"/>
      <c r="M20" s="20"/>
      <c r="N20" s="15"/>
    </row>
    <row r="21" spans="1:14">
      <c r="A21" s="209"/>
      <c r="B21" s="210"/>
      <c r="C21" s="200"/>
      <c r="D21" s="201"/>
      <c r="E21" s="20" t="s">
        <v>209</v>
      </c>
      <c r="F21" s="14" t="s">
        <v>209</v>
      </c>
      <c r="G21" s="20"/>
      <c r="H21" s="20"/>
      <c r="I21" s="20"/>
      <c r="J21" s="20"/>
      <c r="K21" s="20"/>
      <c r="L21" s="20"/>
      <c r="M21" s="20"/>
      <c r="N21" s="15"/>
    </row>
    <row r="22" spans="1:14">
      <c r="A22" s="209"/>
      <c r="B22" s="210"/>
      <c r="C22" s="200"/>
      <c r="D22" s="201"/>
      <c r="E22" s="20" t="s">
        <v>210</v>
      </c>
      <c r="F22" s="14" t="s">
        <v>210</v>
      </c>
      <c r="G22" s="20"/>
      <c r="H22" s="20"/>
      <c r="I22" s="20"/>
      <c r="J22" s="20"/>
      <c r="K22" s="20"/>
      <c r="L22" s="20"/>
      <c r="M22" s="20"/>
      <c r="N22" s="15"/>
    </row>
    <row r="23" spans="1:14">
      <c r="A23" s="209"/>
      <c r="B23" s="210"/>
      <c r="C23" s="200"/>
      <c r="D23" s="201"/>
      <c r="E23" s="20" t="s">
        <v>211</v>
      </c>
      <c r="F23" s="14" t="s">
        <v>211</v>
      </c>
      <c r="G23" s="20"/>
      <c r="H23" s="20"/>
      <c r="I23" s="20"/>
      <c r="J23" s="20"/>
      <c r="K23" s="20"/>
      <c r="L23" s="20"/>
      <c r="M23" s="20"/>
      <c r="N23" s="15"/>
    </row>
    <row r="24" spans="1:14">
      <c r="A24" s="209"/>
      <c r="B24" s="210"/>
      <c r="C24" s="200"/>
      <c r="D24" s="201"/>
      <c r="E24" s="20" t="s">
        <v>212</v>
      </c>
      <c r="F24" s="14" t="s">
        <v>212</v>
      </c>
      <c r="G24" s="20"/>
      <c r="H24" s="20"/>
      <c r="I24" s="20"/>
      <c r="J24" s="20"/>
      <c r="K24" s="20"/>
      <c r="L24" s="20"/>
      <c r="M24" s="20"/>
      <c r="N24" s="15"/>
    </row>
    <row r="25" spans="1:14">
      <c r="A25" s="209"/>
      <c r="B25" s="210"/>
      <c r="C25" s="200"/>
      <c r="D25" s="201"/>
      <c r="E25" s="20" t="s">
        <v>213</v>
      </c>
      <c r="F25" s="14" t="s">
        <v>213</v>
      </c>
      <c r="G25" s="20"/>
      <c r="H25" s="20"/>
      <c r="I25" s="20"/>
      <c r="J25" s="20"/>
      <c r="K25" s="20"/>
      <c r="L25" s="20"/>
      <c r="M25" s="20"/>
      <c r="N25" s="15"/>
    </row>
    <row r="26" spans="1:14">
      <c r="A26" s="209"/>
      <c r="B26" s="210"/>
      <c r="C26" s="200"/>
      <c r="D26" s="201"/>
      <c r="E26" s="20" t="s">
        <v>214</v>
      </c>
      <c r="F26" s="14" t="s">
        <v>214</v>
      </c>
      <c r="G26" s="20"/>
      <c r="H26" s="20"/>
      <c r="I26" s="20"/>
      <c r="J26" s="20"/>
      <c r="K26" s="20"/>
      <c r="L26" s="20"/>
      <c r="M26" s="20"/>
      <c r="N26" s="15"/>
    </row>
    <row r="27" spans="1:14">
      <c r="A27" s="209"/>
      <c r="B27" s="210"/>
      <c r="C27" s="200"/>
      <c r="D27" s="201"/>
      <c r="E27" s="20" t="s">
        <v>215</v>
      </c>
      <c r="F27" s="14" t="s">
        <v>215</v>
      </c>
      <c r="G27" s="20"/>
      <c r="H27" s="20"/>
      <c r="I27" s="20"/>
      <c r="J27" s="20"/>
      <c r="K27" s="20"/>
      <c r="L27" s="20"/>
      <c r="M27" s="20"/>
      <c r="N27" s="15"/>
    </row>
    <row r="28" spans="1:14">
      <c r="A28" s="209"/>
      <c r="B28" s="210"/>
      <c r="C28" s="200"/>
      <c r="D28" s="201"/>
      <c r="E28" s="20" t="s">
        <v>216</v>
      </c>
      <c r="F28" s="14" t="s">
        <v>216</v>
      </c>
      <c r="G28" s="20"/>
      <c r="H28" s="20"/>
      <c r="I28" s="20"/>
      <c r="J28" s="20"/>
      <c r="K28" s="20"/>
      <c r="L28" s="20"/>
      <c r="M28" s="20"/>
      <c r="N28" s="15"/>
    </row>
    <row r="29" spans="1:14">
      <c r="A29" s="209"/>
      <c r="B29" s="210"/>
      <c r="C29" s="200"/>
      <c r="D29" s="201"/>
      <c r="E29" s="20" t="s">
        <v>217</v>
      </c>
      <c r="F29" s="14" t="s">
        <v>217</v>
      </c>
      <c r="G29" s="20"/>
      <c r="H29" s="20"/>
      <c r="I29" s="20"/>
      <c r="J29" s="20"/>
      <c r="K29" s="20"/>
      <c r="L29" s="20"/>
      <c r="M29" s="20"/>
      <c r="N29" s="15"/>
    </row>
    <row r="30" spans="1:14">
      <c r="A30" s="209"/>
      <c r="B30" s="210"/>
      <c r="C30" s="200"/>
      <c r="D30" s="201"/>
      <c r="E30" s="20" t="s">
        <v>218</v>
      </c>
      <c r="F30" s="14" t="s">
        <v>218</v>
      </c>
      <c r="G30" s="20"/>
      <c r="H30" s="20"/>
      <c r="I30" s="20"/>
      <c r="J30" s="20"/>
      <c r="K30" s="20"/>
      <c r="L30" s="20"/>
      <c r="M30" s="20"/>
      <c r="N30" s="15"/>
    </row>
    <row r="31" spans="1:14">
      <c r="A31" s="209"/>
      <c r="B31" s="210"/>
      <c r="C31" s="200"/>
      <c r="D31" s="201"/>
      <c r="E31" s="20" t="s">
        <v>219</v>
      </c>
      <c r="F31" s="14" t="s">
        <v>219</v>
      </c>
      <c r="G31" s="20"/>
      <c r="H31" s="20"/>
      <c r="I31" s="20"/>
      <c r="J31" s="20"/>
      <c r="K31" s="20"/>
      <c r="L31" s="20"/>
      <c r="M31" s="20"/>
      <c r="N31" s="15"/>
    </row>
    <row r="32" spans="1:14">
      <c r="A32" s="209"/>
      <c r="B32" s="210"/>
      <c r="C32" s="200"/>
      <c r="D32" s="201"/>
      <c r="E32" s="20" t="s">
        <v>220</v>
      </c>
      <c r="F32" s="14" t="s">
        <v>220</v>
      </c>
      <c r="G32" s="20"/>
      <c r="H32" s="20"/>
      <c r="I32" s="20"/>
      <c r="J32" s="20"/>
      <c r="K32" s="20"/>
      <c r="L32" s="20"/>
      <c r="M32" s="20"/>
      <c r="N32" s="15"/>
    </row>
    <row r="33" spans="1:14">
      <c r="A33" s="209"/>
      <c r="B33" s="210"/>
      <c r="C33" s="200"/>
      <c r="D33" s="201"/>
      <c r="E33" s="20" t="s">
        <v>221</v>
      </c>
      <c r="F33" s="14" t="s">
        <v>221</v>
      </c>
      <c r="G33" s="20"/>
      <c r="H33" s="20"/>
      <c r="I33" s="20"/>
      <c r="J33" s="20"/>
      <c r="K33" s="20"/>
      <c r="L33" s="20"/>
      <c r="M33" s="20"/>
      <c r="N33" s="15"/>
    </row>
    <row r="34" spans="1:14">
      <c r="A34" s="209"/>
      <c r="B34" s="210"/>
      <c r="C34" s="200"/>
      <c r="D34" s="201"/>
      <c r="E34" s="20" t="s">
        <v>222</v>
      </c>
      <c r="F34" s="14" t="s">
        <v>222</v>
      </c>
      <c r="G34" s="20"/>
      <c r="H34" s="20"/>
      <c r="I34" s="20"/>
      <c r="J34" s="20"/>
      <c r="K34" s="20"/>
      <c r="L34" s="20"/>
      <c r="M34" s="20"/>
      <c r="N34" s="15"/>
    </row>
    <row r="35" spans="1:14">
      <c r="A35" s="209"/>
      <c r="B35" s="210"/>
      <c r="C35" s="200"/>
      <c r="D35" s="201"/>
      <c r="E35" s="20" t="s">
        <v>223</v>
      </c>
      <c r="F35" s="14" t="s">
        <v>223</v>
      </c>
      <c r="G35" s="20"/>
      <c r="H35" s="20"/>
      <c r="I35" s="20"/>
      <c r="J35" s="20"/>
      <c r="K35" s="20"/>
      <c r="L35" s="20"/>
      <c r="M35" s="20"/>
      <c r="N35" s="15"/>
    </row>
    <row r="36" spans="1:14">
      <c r="A36" s="209"/>
      <c r="B36" s="210"/>
      <c r="C36" s="200"/>
      <c r="D36" s="201"/>
      <c r="E36" s="20" t="s">
        <v>224</v>
      </c>
      <c r="F36" s="14" t="s">
        <v>224</v>
      </c>
      <c r="G36" s="20"/>
      <c r="H36" s="20"/>
      <c r="I36" s="20"/>
      <c r="J36" s="20"/>
      <c r="K36" s="20"/>
      <c r="L36" s="20"/>
      <c r="M36" s="20"/>
      <c r="N36" s="15"/>
    </row>
    <row r="37" spans="1:14">
      <c r="A37" s="209"/>
      <c r="B37" s="210"/>
      <c r="C37" s="200"/>
      <c r="D37" s="201"/>
      <c r="E37" s="20" t="s">
        <v>225</v>
      </c>
      <c r="F37" s="14" t="s">
        <v>225</v>
      </c>
      <c r="G37" s="20"/>
      <c r="H37" s="20"/>
      <c r="I37" s="20"/>
      <c r="J37" s="20"/>
      <c r="K37" s="20"/>
      <c r="L37" s="20"/>
      <c r="M37" s="20"/>
      <c r="N37" s="15"/>
    </row>
    <row r="38" spans="1:14">
      <c r="A38" s="209"/>
      <c r="B38" s="210"/>
      <c r="C38" s="200"/>
      <c r="D38" s="201"/>
      <c r="E38" s="20" t="s">
        <v>226</v>
      </c>
      <c r="F38" s="14" t="s">
        <v>226</v>
      </c>
      <c r="G38" s="20"/>
      <c r="H38" s="20"/>
      <c r="I38" s="20"/>
      <c r="J38" s="20"/>
      <c r="K38" s="20"/>
      <c r="L38" s="20"/>
      <c r="M38" s="20"/>
      <c r="N38" s="15"/>
    </row>
    <row r="39" spans="1:14">
      <c r="A39" s="209"/>
      <c r="B39" s="210"/>
      <c r="C39" s="200"/>
      <c r="D39" s="201"/>
      <c r="E39" s="20" t="s">
        <v>227</v>
      </c>
      <c r="F39" s="14" t="s">
        <v>227</v>
      </c>
      <c r="G39" s="20"/>
      <c r="H39" s="20"/>
      <c r="I39" s="20"/>
      <c r="J39" s="20"/>
      <c r="K39" s="20"/>
      <c r="L39" s="20"/>
      <c r="M39" s="20"/>
      <c r="N39" s="15"/>
    </row>
    <row r="40" spans="1:14">
      <c r="A40" s="209"/>
      <c r="B40" s="210"/>
      <c r="C40" s="200"/>
      <c r="D40" s="201"/>
      <c r="E40" s="20" t="s">
        <v>228</v>
      </c>
      <c r="F40" s="14" t="s">
        <v>228</v>
      </c>
      <c r="G40" s="20"/>
      <c r="H40" s="20"/>
      <c r="I40" s="20"/>
      <c r="J40" s="20"/>
      <c r="K40" s="20"/>
      <c r="L40" s="20"/>
      <c r="M40" s="20"/>
      <c r="N40" s="15"/>
    </row>
    <row r="41" spans="1:14">
      <c r="A41" s="209"/>
      <c r="B41" s="210"/>
      <c r="C41" s="200"/>
      <c r="D41" s="201"/>
      <c r="E41" s="20" t="s">
        <v>229</v>
      </c>
      <c r="F41" s="14" t="s">
        <v>229</v>
      </c>
      <c r="G41" s="20"/>
      <c r="H41" s="20"/>
      <c r="I41" s="20"/>
      <c r="J41" s="20"/>
      <c r="K41" s="20"/>
      <c r="L41" s="20"/>
      <c r="M41" s="20"/>
      <c r="N41" s="15"/>
    </row>
    <row r="42" spans="1:14">
      <c r="A42" s="209"/>
      <c r="B42" s="210"/>
      <c r="C42" s="200"/>
      <c r="D42" s="201"/>
      <c r="E42" s="20" t="s">
        <v>230</v>
      </c>
      <c r="F42" s="14" t="s">
        <v>230</v>
      </c>
      <c r="G42" s="20"/>
      <c r="H42" s="20"/>
      <c r="I42" s="20"/>
      <c r="J42" s="20"/>
      <c r="K42" s="20"/>
      <c r="L42" s="20"/>
      <c r="M42" s="20"/>
      <c r="N42" s="15"/>
    </row>
    <row r="43" spans="1:14">
      <c r="A43" s="209"/>
      <c r="B43" s="210"/>
      <c r="C43" s="200"/>
      <c r="D43" s="201"/>
      <c r="E43" s="20" t="s">
        <v>231</v>
      </c>
      <c r="F43" s="14" t="s">
        <v>231</v>
      </c>
      <c r="G43" s="20"/>
      <c r="H43" s="20"/>
      <c r="I43" s="20"/>
      <c r="J43" s="20"/>
      <c r="K43" s="20"/>
      <c r="L43" s="20"/>
      <c r="M43" s="20"/>
      <c r="N43" s="15"/>
    </row>
    <row r="44" spans="1:14">
      <c r="A44" s="209"/>
      <c r="B44" s="210"/>
      <c r="C44" s="200"/>
      <c r="D44" s="201"/>
      <c r="E44" s="20" t="s">
        <v>232</v>
      </c>
      <c r="F44" s="14" t="s">
        <v>232</v>
      </c>
      <c r="G44" s="20"/>
      <c r="H44" s="20"/>
      <c r="I44" s="20"/>
      <c r="J44" s="20"/>
      <c r="K44" s="20"/>
      <c r="L44" s="20"/>
      <c r="M44" s="20"/>
      <c r="N44" s="15"/>
    </row>
    <row r="45" spans="1:14">
      <c r="A45" s="209"/>
      <c r="B45" s="210"/>
      <c r="C45" s="200"/>
      <c r="D45" s="201"/>
      <c r="E45" s="20" t="s">
        <v>233</v>
      </c>
      <c r="F45" s="14" t="s">
        <v>233</v>
      </c>
      <c r="G45" s="20"/>
      <c r="H45" s="20"/>
      <c r="I45" s="20"/>
      <c r="J45" s="20"/>
      <c r="K45" s="20"/>
      <c r="L45" s="20"/>
      <c r="M45" s="20"/>
      <c r="N45" s="15"/>
    </row>
    <row r="46" spans="1:14">
      <c r="A46" s="209"/>
      <c r="B46" s="210"/>
      <c r="C46" s="200"/>
      <c r="D46" s="201"/>
      <c r="E46" s="20" t="s">
        <v>234</v>
      </c>
      <c r="F46" s="14" t="s">
        <v>234</v>
      </c>
      <c r="G46" s="20"/>
      <c r="H46" s="20"/>
      <c r="I46" s="20"/>
      <c r="J46" s="20"/>
      <c r="K46" s="20"/>
      <c r="L46" s="20"/>
      <c r="M46" s="20"/>
      <c r="N46" s="15"/>
    </row>
    <row r="47" spans="1:14">
      <c r="A47" s="209"/>
      <c r="B47" s="210"/>
      <c r="C47" s="200"/>
      <c r="D47" s="201"/>
      <c r="E47" s="20" t="s">
        <v>235</v>
      </c>
      <c r="F47" s="14" t="s">
        <v>235</v>
      </c>
      <c r="G47" s="20"/>
      <c r="H47" s="20"/>
      <c r="I47" s="20"/>
      <c r="J47" s="20"/>
      <c r="K47" s="20"/>
      <c r="L47" s="20"/>
      <c r="M47" s="20"/>
      <c r="N47" s="15"/>
    </row>
    <row r="48" spans="1:14">
      <c r="A48" s="209"/>
      <c r="B48" s="210"/>
      <c r="C48" s="200"/>
      <c r="D48" s="201"/>
      <c r="E48" s="20" t="s">
        <v>236</v>
      </c>
      <c r="F48" s="14" t="s">
        <v>236</v>
      </c>
      <c r="G48" s="20"/>
      <c r="H48" s="20"/>
      <c r="I48" s="20"/>
      <c r="J48" s="20"/>
      <c r="K48" s="20"/>
      <c r="L48" s="20"/>
      <c r="M48" s="20"/>
      <c r="N48" s="15"/>
    </row>
    <row r="49" spans="1:14">
      <c r="A49" s="209"/>
      <c r="B49" s="210"/>
      <c r="C49" s="200"/>
      <c r="D49" s="201"/>
      <c r="E49" s="20" t="s">
        <v>237</v>
      </c>
      <c r="F49" s="14" t="s">
        <v>237</v>
      </c>
      <c r="G49" s="20"/>
      <c r="H49" s="20"/>
      <c r="I49" s="20"/>
      <c r="J49" s="20"/>
      <c r="K49" s="20"/>
      <c r="L49" s="20"/>
      <c r="M49" s="20"/>
      <c r="N49" s="15"/>
    </row>
    <row r="50" spans="1:14">
      <c r="A50" s="209"/>
      <c r="B50" s="210"/>
      <c r="C50" s="200"/>
      <c r="D50" s="201"/>
      <c r="E50" s="20" t="s">
        <v>238</v>
      </c>
      <c r="F50" s="14" t="s">
        <v>238</v>
      </c>
      <c r="G50" s="20"/>
      <c r="H50" s="20"/>
      <c r="I50" s="20"/>
      <c r="J50" s="20"/>
      <c r="K50" s="20"/>
      <c r="L50" s="20"/>
      <c r="M50" s="20"/>
      <c r="N50" s="15"/>
    </row>
    <row r="51" spans="1:14">
      <c r="A51" s="209"/>
      <c r="B51" s="210"/>
      <c r="C51" s="200"/>
      <c r="D51" s="201"/>
      <c r="E51" s="20" t="s">
        <v>239</v>
      </c>
      <c r="F51" s="14" t="s">
        <v>239</v>
      </c>
      <c r="G51" s="20"/>
      <c r="H51" s="20"/>
      <c r="I51" s="20"/>
      <c r="J51" s="20"/>
      <c r="K51" s="20"/>
      <c r="L51" s="20"/>
      <c r="M51" s="20"/>
      <c r="N51" s="15"/>
    </row>
    <row r="52" spans="1:14">
      <c r="A52" s="209"/>
      <c r="B52" s="210"/>
      <c r="C52" s="200"/>
      <c r="D52" s="201"/>
      <c r="E52" s="20" t="s">
        <v>240</v>
      </c>
      <c r="F52" s="14" t="s">
        <v>240</v>
      </c>
      <c r="G52" s="20"/>
      <c r="H52" s="20"/>
      <c r="I52" s="20"/>
      <c r="J52" s="20"/>
      <c r="K52" s="20"/>
      <c r="L52" s="20"/>
      <c r="M52" s="20"/>
      <c r="N52" s="15"/>
    </row>
    <row r="53" spans="1:14">
      <c r="A53" s="209"/>
      <c r="B53" s="210"/>
      <c r="C53" s="200"/>
      <c r="D53" s="201"/>
      <c r="E53" s="20" t="s">
        <v>241</v>
      </c>
      <c r="F53" s="14" t="s">
        <v>241</v>
      </c>
      <c r="G53" s="20"/>
      <c r="H53" s="20"/>
      <c r="I53" s="20"/>
      <c r="J53" s="20"/>
      <c r="K53" s="20"/>
      <c r="L53" s="20"/>
      <c r="M53" s="20"/>
      <c r="N53" s="15"/>
    </row>
    <row r="54" spans="1:14">
      <c r="A54" s="209"/>
      <c r="B54" s="210"/>
      <c r="C54" s="200"/>
      <c r="D54" s="201"/>
      <c r="E54" s="20" t="s">
        <v>242</v>
      </c>
      <c r="F54" s="14" t="s">
        <v>242</v>
      </c>
      <c r="G54" s="20"/>
      <c r="H54" s="20"/>
      <c r="I54" s="20"/>
      <c r="J54" s="20"/>
      <c r="K54" s="20"/>
      <c r="L54" s="20"/>
      <c r="M54" s="20"/>
      <c r="N54" s="15"/>
    </row>
    <row r="55" spans="1:14">
      <c r="A55" s="209"/>
      <c r="B55" s="210"/>
      <c r="C55" s="200"/>
      <c r="D55" s="201"/>
      <c r="E55" s="20" t="s">
        <v>243</v>
      </c>
      <c r="F55" s="14" t="s">
        <v>243</v>
      </c>
      <c r="G55" s="20"/>
      <c r="H55" s="20"/>
      <c r="I55" s="20"/>
      <c r="J55" s="20"/>
      <c r="K55" s="20"/>
      <c r="L55" s="20"/>
      <c r="M55" s="20"/>
      <c r="N55" s="15"/>
    </row>
    <row r="56" spans="1:14">
      <c r="A56" s="209"/>
      <c r="B56" s="210"/>
      <c r="C56" s="200"/>
      <c r="D56" s="201"/>
      <c r="E56" s="20" t="s">
        <v>244</v>
      </c>
      <c r="F56" s="14" t="s">
        <v>244</v>
      </c>
      <c r="G56" s="20"/>
      <c r="H56" s="20"/>
      <c r="I56" s="20"/>
      <c r="J56" s="20"/>
      <c r="K56" s="20"/>
      <c r="L56" s="20"/>
      <c r="M56" s="20"/>
      <c r="N56" s="15"/>
    </row>
    <row r="57" spans="1:14">
      <c r="A57" s="209"/>
      <c r="B57" s="210"/>
      <c r="C57" s="200"/>
      <c r="D57" s="201"/>
      <c r="E57" s="20" t="s">
        <v>245</v>
      </c>
      <c r="F57" s="14" t="s">
        <v>245</v>
      </c>
      <c r="G57" s="20"/>
      <c r="H57" s="20"/>
      <c r="I57" s="20"/>
      <c r="J57" s="20"/>
      <c r="K57" s="20"/>
      <c r="L57" s="20"/>
      <c r="M57" s="20"/>
      <c r="N57" s="15"/>
    </row>
    <row r="58" spans="1:14">
      <c r="A58" s="209"/>
      <c r="B58" s="210"/>
      <c r="C58" s="200"/>
      <c r="D58" s="201"/>
      <c r="E58" s="20" t="s">
        <v>246</v>
      </c>
      <c r="F58" s="14" t="s">
        <v>246</v>
      </c>
      <c r="G58" s="20"/>
      <c r="H58" s="20"/>
      <c r="I58" s="20"/>
      <c r="J58" s="20"/>
      <c r="K58" s="20"/>
      <c r="L58" s="20"/>
      <c r="M58" s="20"/>
      <c r="N58" s="15"/>
    </row>
    <row r="59" spans="1:14">
      <c r="A59" s="209"/>
      <c r="B59" s="210"/>
      <c r="C59" s="200"/>
      <c r="D59" s="201"/>
      <c r="E59" s="20" t="s">
        <v>247</v>
      </c>
      <c r="F59" s="14" t="s">
        <v>247</v>
      </c>
      <c r="G59" s="20"/>
      <c r="H59" s="20"/>
      <c r="I59" s="20"/>
      <c r="J59" s="20"/>
      <c r="K59" s="20"/>
      <c r="L59" s="20"/>
      <c r="M59" s="20"/>
      <c r="N59" s="15"/>
    </row>
    <row r="60" spans="1:14">
      <c r="A60" s="209"/>
      <c r="B60" s="210"/>
      <c r="C60" s="200"/>
      <c r="D60" s="201"/>
      <c r="E60" s="20" t="s">
        <v>248</v>
      </c>
      <c r="F60" s="14" t="s">
        <v>248</v>
      </c>
      <c r="G60" s="20"/>
      <c r="H60" s="20"/>
      <c r="I60" s="20"/>
      <c r="J60" s="20"/>
      <c r="K60" s="20"/>
      <c r="L60" s="20"/>
      <c r="M60" s="20"/>
      <c r="N60" s="15"/>
    </row>
    <row r="61" spans="1:14">
      <c r="A61" s="209"/>
      <c r="B61" s="210"/>
      <c r="C61" s="200"/>
      <c r="D61" s="201"/>
      <c r="E61" s="20" t="s">
        <v>249</v>
      </c>
      <c r="F61" s="14" t="s">
        <v>249</v>
      </c>
      <c r="G61" s="20"/>
      <c r="H61" s="20"/>
      <c r="I61" s="20"/>
      <c r="J61" s="20"/>
      <c r="K61" s="20"/>
      <c r="L61" s="20"/>
      <c r="M61" s="20"/>
      <c r="N61" s="15"/>
    </row>
    <row r="62" spans="1:14">
      <c r="A62" s="209"/>
      <c r="B62" s="210"/>
      <c r="C62" s="200"/>
      <c r="D62" s="201"/>
      <c r="E62" s="20" t="s">
        <v>250</v>
      </c>
      <c r="F62" s="14" t="s">
        <v>250</v>
      </c>
      <c r="G62" s="20"/>
      <c r="H62" s="20"/>
      <c r="I62" s="20"/>
      <c r="J62" s="20"/>
      <c r="K62" s="20"/>
      <c r="L62" s="20"/>
      <c r="M62" s="20"/>
      <c r="N62" s="15"/>
    </row>
    <row r="63" spans="1:14">
      <c r="A63" s="209"/>
      <c r="B63" s="210"/>
      <c r="C63" s="200"/>
      <c r="D63" s="201"/>
      <c r="E63" s="20" t="s">
        <v>251</v>
      </c>
      <c r="F63" s="14" t="s">
        <v>251</v>
      </c>
      <c r="G63" s="20"/>
      <c r="H63" s="20"/>
      <c r="I63" s="20"/>
      <c r="J63" s="20"/>
      <c r="K63" s="20"/>
      <c r="L63" s="20"/>
      <c r="M63" s="20"/>
      <c r="N63" s="15"/>
    </row>
    <row r="64" spans="1:14">
      <c r="A64" s="209"/>
      <c r="B64" s="210"/>
      <c r="C64" s="200"/>
      <c r="D64" s="201"/>
      <c r="E64" s="20" t="s">
        <v>252</v>
      </c>
      <c r="F64" s="14" t="s">
        <v>252</v>
      </c>
      <c r="G64" s="20"/>
      <c r="H64" s="20"/>
      <c r="I64" s="20"/>
      <c r="J64" s="20"/>
      <c r="K64" s="20"/>
      <c r="L64" s="20"/>
      <c r="M64" s="20"/>
      <c r="N64" s="15"/>
    </row>
    <row r="65" spans="1:14">
      <c r="A65" s="209"/>
      <c r="B65" s="210"/>
      <c r="C65" s="200"/>
      <c r="D65" s="201"/>
      <c r="E65" s="20" t="s">
        <v>253</v>
      </c>
      <c r="F65" s="14" t="s">
        <v>253</v>
      </c>
      <c r="G65" s="20"/>
      <c r="H65" s="20"/>
      <c r="I65" s="20"/>
      <c r="J65" s="20"/>
      <c r="K65" s="20"/>
      <c r="L65" s="20"/>
      <c r="M65" s="20"/>
      <c r="N65" s="15"/>
    </row>
    <row r="66" spans="1:14">
      <c r="A66" s="209"/>
      <c r="B66" s="210"/>
      <c r="C66" s="200"/>
      <c r="D66" s="201"/>
      <c r="E66" s="20" t="s">
        <v>254</v>
      </c>
      <c r="F66" s="14" t="s">
        <v>254</v>
      </c>
      <c r="G66" s="20"/>
      <c r="H66" s="20"/>
      <c r="I66" s="20"/>
      <c r="J66" s="20"/>
      <c r="K66" s="20"/>
      <c r="L66" s="20"/>
      <c r="M66" s="20"/>
      <c r="N66" s="15"/>
    </row>
    <row r="67" spans="1:14">
      <c r="A67" s="209"/>
      <c r="B67" s="210"/>
      <c r="C67" s="200"/>
      <c r="D67" s="201"/>
      <c r="E67" s="20" t="s">
        <v>255</v>
      </c>
      <c r="F67" s="14" t="s">
        <v>255</v>
      </c>
      <c r="G67" s="20"/>
      <c r="H67" s="20"/>
      <c r="I67" s="20"/>
      <c r="J67" s="20"/>
      <c r="K67" s="20"/>
      <c r="L67" s="20"/>
      <c r="M67" s="20"/>
      <c r="N67" s="15"/>
    </row>
    <row r="68" spans="1:14">
      <c r="A68" s="209"/>
      <c r="B68" s="210"/>
      <c r="C68" s="200"/>
      <c r="D68" s="201"/>
      <c r="E68" s="20" t="s">
        <v>256</v>
      </c>
      <c r="F68" s="14" t="s">
        <v>256</v>
      </c>
      <c r="G68" s="20"/>
      <c r="H68" s="20"/>
      <c r="I68" s="20"/>
      <c r="J68" s="20"/>
      <c r="K68" s="20"/>
      <c r="L68" s="20"/>
      <c r="M68" s="20"/>
      <c r="N68" s="15"/>
    </row>
    <row r="69" spans="1:14">
      <c r="A69" s="209"/>
      <c r="B69" s="210"/>
      <c r="C69" s="200"/>
      <c r="D69" s="201"/>
      <c r="E69" s="20" t="s">
        <v>257</v>
      </c>
      <c r="F69" s="14" t="s">
        <v>257</v>
      </c>
      <c r="G69" s="20"/>
      <c r="H69" s="20"/>
      <c r="I69" s="20"/>
      <c r="J69" s="20"/>
      <c r="K69" s="20"/>
      <c r="L69" s="20"/>
      <c r="M69" s="20"/>
      <c r="N69" s="15"/>
    </row>
    <row r="70" spans="1:14">
      <c r="A70" s="209"/>
      <c r="B70" s="210"/>
      <c r="C70" s="200"/>
      <c r="D70" s="201"/>
      <c r="E70" s="20" t="s">
        <v>258</v>
      </c>
      <c r="F70" s="14" t="s">
        <v>258</v>
      </c>
      <c r="G70" s="20"/>
      <c r="H70" s="20"/>
      <c r="I70" s="20"/>
      <c r="J70" s="20"/>
      <c r="K70" s="20"/>
      <c r="L70" s="20"/>
      <c r="M70" s="20"/>
      <c r="N70" s="15"/>
    </row>
    <row r="71" spans="1:14">
      <c r="A71" s="209"/>
      <c r="B71" s="210"/>
      <c r="C71" s="200"/>
      <c r="D71" s="201"/>
      <c r="E71" s="20" t="s">
        <v>259</v>
      </c>
      <c r="F71" s="14" t="s">
        <v>259</v>
      </c>
      <c r="G71" s="20"/>
      <c r="H71" s="20"/>
      <c r="I71" s="20"/>
      <c r="J71" s="20"/>
      <c r="K71" s="20"/>
      <c r="L71" s="20"/>
      <c r="M71" s="20"/>
      <c r="N71" s="15"/>
    </row>
    <row r="72" spans="1:14">
      <c r="A72" s="209"/>
      <c r="B72" s="210"/>
      <c r="C72" s="200"/>
      <c r="D72" s="201"/>
      <c r="E72" s="20" t="s">
        <v>260</v>
      </c>
      <c r="F72" s="14" t="s">
        <v>260</v>
      </c>
      <c r="G72" s="20"/>
      <c r="H72" s="20"/>
      <c r="I72" s="20"/>
      <c r="J72" s="20"/>
      <c r="K72" s="20"/>
      <c r="L72" s="20"/>
      <c r="M72" s="20"/>
      <c r="N72" s="15"/>
    </row>
    <row r="73" spans="1:14">
      <c r="A73" s="209"/>
      <c r="B73" s="210"/>
      <c r="C73" s="200"/>
      <c r="D73" s="201"/>
      <c r="E73" s="20" t="s">
        <v>261</v>
      </c>
      <c r="F73" s="14" t="s">
        <v>261</v>
      </c>
      <c r="G73" s="20"/>
      <c r="H73" s="20"/>
      <c r="I73" s="20"/>
      <c r="J73" s="20"/>
      <c r="K73" s="20"/>
      <c r="L73" s="20"/>
      <c r="M73" s="20"/>
      <c r="N73" s="15"/>
    </row>
    <row r="74" spans="1:14">
      <c r="A74" s="209"/>
      <c r="B74" s="210"/>
      <c r="C74" s="200"/>
      <c r="D74" s="201"/>
      <c r="E74" s="20" t="s">
        <v>262</v>
      </c>
      <c r="F74" s="14" t="s">
        <v>262</v>
      </c>
      <c r="G74" s="20"/>
      <c r="H74" s="20"/>
      <c r="I74" s="20"/>
      <c r="J74" s="20"/>
      <c r="K74" s="20"/>
      <c r="L74" s="20"/>
      <c r="M74" s="20"/>
      <c r="N74" s="15"/>
    </row>
    <row r="75" spans="1:14">
      <c r="A75" s="209"/>
      <c r="B75" s="210"/>
      <c r="C75" s="200"/>
      <c r="D75" s="201"/>
      <c r="E75" s="20" t="s">
        <v>263</v>
      </c>
      <c r="F75" s="14" t="s">
        <v>263</v>
      </c>
      <c r="G75" s="20"/>
      <c r="H75" s="20"/>
      <c r="I75" s="20"/>
      <c r="J75" s="20"/>
      <c r="K75" s="20"/>
      <c r="L75" s="20"/>
      <c r="M75" s="20"/>
      <c r="N75" s="15"/>
    </row>
    <row r="76" spans="1:14">
      <c r="A76" s="209"/>
      <c r="B76" s="210"/>
      <c r="C76" s="200"/>
      <c r="D76" s="201"/>
      <c r="E76" s="20" t="s">
        <v>264</v>
      </c>
      <c r="F76" s="14" t="s">
        <v>264</v>
      </c>
      <c r="G76" s="20"/>
      <c r="H76" s="20"/>
      <c r="I76" s="20"/>
      <c r="J76" s="20"/>
      <c r="K76" s="20"/>
      <c r="L76" s="20"/>
      <c r="M76" s="20"/>
      <c r="N76" s="15"/>
    </row>
    <row r="77" spans="1:14">
      <c r="A77" s="209"/>
      <c r="B77" s="210"/>
      <c r="C77" s="200"/>
      <c r="D77" s="201"/>
      <c r="E77" s="20" t="s">
        <v>265</v>
      </c>
      <c r="F77" s="14" t="s">
        <v>265</v>
      </c>
      <c r="G77" s="20"/>
      <c r="H77" s="20"/>
      <c r="I77" s="20"/>
      <c r="J77" s="20"/>
      <c r="K77" s="20"/>
      <c r="L77" s="20"/>
      <c r="M77" s="20"/>
      <c r="N77" s="15"/>
    </row>
    <row r="78" spans="1:14">
      <c r="A78" s="209"/>
      <c r="B78" s="210"/>
      <c r="C78" s="200"/>
      <c r="D78" s="201"/>
      <c r="E78" s="20" t="s">
        <v>266</v>
      </c>
      <c r="F78" s="14" t="s">
        <v>266</v>
      </c>
      <c r="G78" s="20"/>
      <c r="H78" s="20"/>
      <c r="I78" s="20"/>
      <c r="J78" s="20"/>
      <c r="K78" s="20"/>
      <c r="L78" s="20"/>
      <c r="M78" s="20"/>
      <c r="N78" s="15"/>
    </row>
    <row r="79" spans="1:14">
      <c r="A79" s="209"/>
      <c r="B79" s="210"/>
      <c r="C79" s="200"/>
      <c r="D79" s="201"/>
      <c r="E79" s="20" t="s">
        <v>267</v>
      </c>
      <c r="F79" s="14" t="s">
        <v>267</v>
      </c>
      <c r="G79" s="20"/>
      <c r="H79" s="20"/>
      <c r="I79" s="20"/>
      <c r="J79" s="20"/>
      <c r="K79" s="20"/>
      <c r="L79" s="20"/>
      <c r="M79" s="20"/>
      <c r="N79" s="15"/>
    </row>
    <row r="80" spans="1:14">
      <c r="A80" s="209"/>
      <c r="B80" s="210"/>
      <c r="C80" s="200"/>
      <c r="D80" s="201"/>
      <c r="E80" s="20" t="s">
        <v>268</v>
      </c>
      <c r="F80" s="14" t="s">
        <v>268</v>
      </c>
      <c r="G80" s="20"/>
      <c r="H80" s="20"/>
      <c r="I80" s="20"/>
      <c r="J80" s="20"/>
      <c r="K80" s="20"/>
      <c r="L80" s="20"/>
      <c r="M80" s="20"/>
      <c r="N80" s="15"/>
    </row>
    <row r="81" spans="1:14">
      <c r="A81" s="209"/>
      <c r="B81" s="210"/>
      <c r="C81" s="200"/>
      <c r="D81" s="201"/>
      <c r="E81" s="20" t="s">
        <v>269</v>
      </c>
      <c r="F81" s="14" t="s">
        <v>269</v>
      </c>
      <c r="G81" s="20"/>
      <c r="H81" s="20"/>
      <c r="I81" s="20"/>
      <c r="J81" s="20"/>
      <c r="K81" s="20"/>
      <c r="L81" s="20"/>
      <c r="M81" s="20"/>
      <c r="N81" s="15"/>
    </row>
    <row r="82" spans="1:14">
      <c r="A82" s="209"/>
      <c r="B82" s="210"/>
      <c r="C82" s="200"/>
      <c r="D82" s="201"/>
      <c r="E82" s="20" t="s">
        <v>270</v>
      </c>
      <c r="F82" s="14" t="s">
        <v>270</v>
      </c>
      <c r="G82" s="20"/>
      <c r="H82" s="20"/>
      <c r="I82" s="20"/>
      <c r="J82" s="20"/>
      <c r="K82" s="20"/>
      <c r="L82" s="20"/>
      <c r="M82" s="20"/>
      <c r="N82" s="15"/>
    </row>
    <row r="83" spans="1:14">
      <c r="A83" s="209"/>
      <c r="B83" s="210"/>
      <c r="C83" s="200"/>
      <c r="D83" s="201"/>
      <c r="E83" s="20" t="s">
        <v>271</v>
      </c>
      <c r="F83" s="14" t="s">
        <v>271</v>
      </c>
      <c r="G83" s="20"/>
      <c r="H83" s="20"/>
      <c r="I83" s="20"/>
      <c r="J83" s="20"/>
      <c r="K83" s="20"/>
      <c r="L83" s="20"/>
      <c r="M83" s="20"/>
      <c r="N83" s="15"/>
    </row>
    <row r="84" spans="1:14">
      <c r="A84" s="209"/>
      <c r="B84" s="210"/>
      <c r="C84" s="200"/>
      <c r="D84" s="201"/>
      <c r="E84" s="20" t="s">
        <v>272</v>
      </c>
      <c r="F84" s="14" t="s">
        <v>272</v>
      </c>
      <c r="G84" s="20"/>
      <c r="H84" s="20"/>
      <c r="I84" s="20"/>
      <c r="J84" s="20"/>
      <c r="K84" s="20"/>
      <c r="L84" s="20"/>
      <c r="M84" s="20"/>
      <c r="N84" s="15"/>
    </row>
    <row r="85" spans="1:14">
      <c r="A85" s="209"/>
      <c r="B85" s="210"/>
      <c r="C85" s="200"/>
      <c r="D85" s="201"/>
      <c r="E85" s="20" t="s">
        <v>273</v>
      </c>
      <c r="F85" s="14" t="s">
        <v>273</v>
      </c>
      <c r="G85" s="20"/>
      <c r="H85" s="20"/>
      <c r="I85" s="20"/>
      <c r="J85" s="20"/>
      <c r="K85" s="20"/>
      <c r="L85" s="20"/>
      <c r="M85" s="20"/>
      <c r="N85" s="15"/>
    </row>
    <row r="86" spans="1:14">
      <c r="A86" s="209"/>
      <c r="B86" s="210"/>
      <c r="C86" s="200"/>
      <c r="D86" s="201"/>
      <c r="E86" s="20" t="s">
        <v>274</v>
      </c>
      <c r="F86" s="14" t="s">
        <v>274</v>
      </c>
      <c r="G86" s="20"/>
      <c r="H86" s="20"/>
      <c r="I86" s="20"/>
      <c r="J86" s="20"/>
      <c r="K86" s="20"/>
      <c r="L86" s="20"/>
      <c r="M86" s="20"/>
      <c r="N86" s="15"/>
    </row>
    <row r="87" spans="1:14">
      <c r="A87" s="209"/>
      <c r="B87" s="210"/>
      <c r="C87" s="200"/>
      <c r="D87" s="201"/>
      <c r="E87" s="20" t="s">
        <v>275</v>
      </c>
      <c r="F87" s="14" t="s">
        <v>275</v>
      </c>
      <c r="G87" s="20"/>
      <c r="H87" s="20"/>
      <c r="I87" s="20"/>
      <c r="J87" s="20"/>
      <c r="K87" s="20"/>
      <c r="L87" s="20"/>
      <c r="M87" s="20"/>
      <c r="N87" s="15"/>
    </row>
    <row r="88" spans="1:14">
      <c r="A88" s="209"/>
      <c r="B88" s="210"/>
      <c r="C88" s="200"/>
      <c r="D88" s="201"/>
      <c r="E88" s="20" t="s">
        <v>276</v>
      </c>
      <c r="F88" s="14" t="s">
        <v>276</v>
      </c>
      <c r="G88" s="20"/>
      <c r="H88" s="20"/>
      <c r="I88" s="20"/>
      <c r="J88" s="20"/>
      <c r="K88" s="20"/>
      <c r="L88" s="20"/>
      <c r="M88" s="20"/>
      <c r="N88" s="15"/>
    </row>
    <row r="89" spans="1:14">
      <c r="A89" s="209"/>
      <c r="B89" s="210"/>
      <c r="C89" s="200"/>
      <c r="D89" s="201"/>
      <c r="E89" s="20" t="s">
        <v>277</v>
      </c>
      <c r="F89" s="14" t="s">
        <v>277</v>
      </c>
      <c r="G89" s="20"/>
      <c r="H89" s="20"/>
      <c r="I89" s="20"/>
      <c r="J89" s="20"/>
      <c r="K89" s="20"/>
      <c r="L89" s="20"/>
      <c r="M89" s="20"/>
      <c r="N89" s="15"/>
    </row>
    <row r="90" spans="1:14">
      <c r="A90" s="209"/>
      <c r="B90" s="210"/>
      <c r="C90" s="200"/>
      <c r="D90" s="201"/>
      <c r="E90" s="20" t="s">
        <v>278</v>
      </c>
      <c r="F90" s="14" t="s">
        <v>278</v>
      </c>
      <c r="G90" s="20"/>
      <c r="H90" s="20"/>
      <c r="I90" s="20"/>
      <c r="J90" s="20"/>
      <c r="K90" s="20"/>
      <c r="L90" s="20"/>
      <c r="M90" s="20"/>
      <c r="N90" s="15"/>
    </row>
    <row r="91" spans="1:14">
      <c r="A91" s="209"/>
      <c r="B91" s="210"/>
      <c r="C91" s="200"/>
      <c r="D91" s="201"/>
      <c r="E91" s="20" t="s">
        <v>279</v>
      </c>
      <c r="F91" s="14" t="s">
        <v>279</v>
      </c>
      <c r="G91" s="20"/>
      <c r="H91" s="20"/>
      <c r="I91" s="20"/>
      <c r="J91" s="20"/>
      <c r="K91" s="20"/>
      <c r="L91" s="20"/>
      <c r="M91" s="20"/>
      <c r="N91" s="15"/>
    </row>
    <row r="92" spans="1:14">
      <c r="A92" s="209"/>
      <c r="B92" s="210"/>
      <c r="C92" s="200"/>
      <c r="D92" s="201"/>
      <c r="E92" s="20" t="s">
        <v>280</v>
      </c>
      <c r="F92" s="14" t="s">
        <v>280</v>
      </c>
      <c r="G92" s="20"/>
      <c r="H92" s="20"/>
      <c r="I92" s="20"/>
      <c r="J92" s="20"/>
      <c r="K92" s="20"/>
      <c r="L92" s="20"/>
      <c r="M92" s="20"/>
      <c r="N92" s="15"/>
    </row>
    <row r="93" spans="1:14">
      <c r="A93" s="209"/>
      <c r="B93" s="210"/>
      <c r="C93" s="200"/>
      <c r="D93" s="201"/>
      <c r="E93" s="20" t="s">
        <v>281</v>
      </c>
      <c r="F93" s="14" t="s">
        <v>281</v>
      </c>
      <c r="G93" s="20"/>
      <c r="H93" s="20"/>
      <c r="I93" s="20"/>
      <c r="J93" s="20"/>
      <c r="K93" s="20"/>
      <c r="L93" s="20"/>
      <c r="M93" s="20"/>
      <c r="N93" s="15"/>
    </row>
    <row r="94" spans="1:14">
      <c r="A94" s="209"/>
      <c r="B94" s="210"/>
      <c r="C94" s="200"/>
      <c r="D94" s="201"/>
      <c r="E94" s="20" t="s">
        <v>282</v>
      </c>
      <c r="F94" s="14" t="s">
        <v>282</v>
      </c>
      <c r="G94" s="20"/>
      <c r="H94" s="20"/>
      <c r="I94" s="20"/>
      <c r="J94" s="20"/>
      <c r="K94" s="20"/>
      <c r="L94" s="20"/>
      <c r="M94" s="20"/>
      <c r="N94" s="15"/>
    </row>
    <row r="95" spans="1:14">
      <c r="A95" s="209"/>
      <c r="B95" s="210"/>
      <c r="C95" s="200"/>
      <c r="D95" s="201"/>
      <c r="E95" s="20" t="s">
        <v>283</v>
      </c>
      <c r="F95" s="14" t="s">
        <v>283</v>
      </c>
      <c r="G95" s="20"/>
      <c r="H95" s="20"/>
      <c r="I95" s="20"/>
      <c r="J95" s="20"/>
      <c r="K95" s="20"/>
      <c r="L95" s="20"/>
      <c r="M95" s="20"/>
      <c r="N95" s="15"/>
    </row>
    <row r="96" spans="1:14">
      <c r="A96" s="209"/>
      <c r="B96" s="210"/>
      <c r="C96" s="200"/>
      <c r="D96" s="201"/>
      <c r="E96" s="20" t="s">
        <v>284</v>
      </c>
      <c r="F96" s="14" t="s">
        <v>284</v>
      </c>
      <c r="G96" s="20"/>
      <c r="H96" s="20"/>
      <c r="I96" s="20"/>
      <c r="J96" s="20"/>
      <c r="K96" s="20"/>
      <c r="L96" s="20"/>
      <c r="M96" s="20"/>
      <c r="N96" s="15"/>
    </row>
    <row r="97" spans="1:14">
      <c r="A97" s="209"/>
      <c r="B97" s="210"/>
      <c r="C97" s="200"/>
      <c r="D97" s="201"/>
      <c r="E97" s="20" t="s">
        <v>285</v>
      </c>
      <c r="F97" s="14" t="s">
        <v>285</v>
      </c>
      <c r="G97" s="20"/>
      <c r="H97" s="20"/>
      <c r="I97" s="20"/>
      <c r="J97" s="20"/>
      <c r="K97" s="20"/>
      <c r="L97" s="20"/>
      <c r="M97" s="20"/>
      <c r="N97" s="15"/>
    </row>
    <row r="98" spans="1:14">
      <c r="A98" s="209"/>
      <c r="B98" s="210"/>
      <c r="C98" s="202"/>
      <c r="D98" s="203"/>
      <c r="E98" s="20" t="s">
        <v>286</v>
      </c>
      <c r="F98" s="14" t="s">
        <v>286</v>
      </c>
      <c r="G98" s="20"/>
      <c r="H98" s="20"/>
      <c r="I98" s="20"/>
      <c r="J98" s="20"/>
      <c r="K98" s="20"/>
      <c r="L98" s="20"/>
      <c r="M98" s="20"/>
      <c r="N98" s="15"/>
    </row>
    <row r="99" spans="1:14">
      <c r="A99" s="209"/>
      <c r="B99" s="211"/>
      <c r="C99" s="198" t="s">
        <v>86</v>
      </c>
      <c r="D99" s="199"/>
      <c r="E99" s="20" t="s">
        <v>309</v>
      </c>
      <c r="F99" s="14" t="s">
        <v>197</v>
      </c>
      <c r="G99" s="20"/>
      <c r="H99" s="20"/>
      <c r="I99" s="20"/>
      <c r="J99" s="20"/>
      <c r="K99" s="20"/>
      <c r="L99" s="20"/>
      <c r="M99" s="20"/>
      <c r="N99" s="15"/>
    </row>
    <row r="100" spans="1:14">
      <c r="A100" s="209"/>
      <c r="B100" s="211"/>
      <c r="C100" s="200"/>
      <c r="D100" s="201"/>
      <c r="E100" s="20" t="s">
        <v>310</v>
      </c>
      <c r="F100" s="14" t="s">
        <v>165</v>
      </c>
      <c r="G100" s="20"/>
      <c r="H100" s="20"/>
      <c r="I100" s="20"/>
      <c r="J100" s="20"/>
      <c r="K100" s="20"/>
      <c r="L100" s="20"/>
      <c r="M100" s="20"/>
      <c r="N100" s="15"/>
    </row>
    <row r="101" spans="1:14">
      <c r="A101" s="209"/>
      <c r="B101" s="211"/>
      <c r="C101" s="200"/>
      <c r="D101" s="201"/>
      <c r="E101" s="20" t="s">
        <v>311</v>
      </c>
      <c r="F101" s="14" t="s">
        <v>167</v>
      </c>
      <c r="G101" s="20"/>
      <c r="H101" s="20"/>
      <c r="I101" s="20"/>
      <c r="J101" s="20"/>
      <c r="K101" s="20"/>
      <c r="L101" s="20"/>
      <c r="M101" s="20"/>
      <c r="N101" s="15"/>
    </row>
    <row r="102" spans="1:14">
      <c r="A102" s="209"/>
      <c r="B102" s="211"/>
      <c r="C102" s="200"/>
      <c r="D102" s="201"/>
      <c r="E102" s="20" t="s">
        <v>312</v>
      </c>
      <c r="F102" s="14" t="s">
        <v>169</v>
      </c>
      <c r="G102" s="20"/>
      <c r="H102" s="20"/>
      <c r="I102" s="20"/>
      <c r="J102" s="20"/>
      <c r="K102" s="20"/>
      <c r="L102" s="20"/>
      <c r="M102" s="20"/>
      <c r="N102" s="15"/>
    </row>
    <row r="103" spans="1:14">
      <c r="A103" s="209"/>
      <c r="B103" s="211"/>
      <c r="C103" s="200"/>
      <c r="D103" s="201"/>
      <c r="E103" s="20" t="s">
        <v>313</v>
      </c>
      <c r="F103" s="14" t="s">
        <v>198</v>
      </c>
      <c r="G103" s="20"/>
      <c r="H103" s="20"/>
      <c r="I103" s="20"/>
      <c r="J103" s="20"/>
      <c r="K103" s="20"/>
      <c r="L103" s="20"/>
      <c r="M103" s="20"/>
      <c r="N103" s="15"/>
    </row>
    <row r="104" spans="1:14">
      <c r="A104" s="209"/>
      <c r="B104" s="211"/>
      <c r="C104" s="200"/>
      <c r="D104" s="201"/>
      <c r="E104" s="20" t="s">
        <v>314</v>
      </c>
      <c r="F104" s="14" t="s">
        <v>199</v>
      </c>
      <c r="G104" s="20"/>
      <c r="H104" s="20"/>
      <c r="I104" s="20"/>
      <c r="J104" s="20"/>
      <c r="K104" s="20"/>
      <c r="L104" s="20"/>
      <c r="M104" s="20"/>
      <c r="N104" s="15"/>
    </row>
    <row r="105" spans="1:14">
      <c r="A105" s="209"/>
      <c r="B105" s="211"/>
      <c r="C105" s="200"/>
      <c r="D105" s="201"/>
      <c r="E105" s="20" t="s">
        <v>315</v>
      </c>
      <c r="F105" s="14" t="s">
        <v>200</v>
      </c>
      <c r="G105" s="20"/>
      <c r="H105" s="20"/>
      <c r="I105" s="20"/>
      <c r="J105" s="20"/>
      <c r="K105" s="20"/>
      <c r="L105" s="20"/>
      <c r="M105" s="20"/>
      <c r="N105" s="15"/>
    </row>
    <row r="106" spans="1:14">
      <c r="A106" s="209"/>
      <c r="B106" s="211"/>
      <c r="C106" s="200"/>
      <c r="D106" s="201"/>
      <c r="E106" s="20" t="s">
        <v>316</v>
      </c>
      <c r="F106" s="14" t="s">
        <v>201</v>
      </c>
      <c r="G106" s="20"/>
      <c r="H106" s="20"/>
      <c r="I106" s="20"/>
      <c r="J106" s="20"/>
      <c r="K106" s="20"/>
      <c r="L106" s="20"/>
      <c r="M106" s="20"/>
      <c r="N106" s="15"/>
    </row>
    <row r="107" spans="1:14">
      <c r="A107" s="209"/>
      <c r="B107" s="211"/>
      <c r="C107" s="200"/>
      <c r="D107" s="201"/>
      <c r="E107" s="20" t="s">
        <v>317</v>
      </c>
      <c r="F107" s="14" t="s">
        <v>202</v>
      </c>
      <c r="G107" s="20"/>
      <c r="H107" s="20"/>
      <c r="I107" s="20"/>
      <c r="J107" s="20"/>
      <c r="K107" s="20"/>
      <c r="L107" s="20"/>
      <c r="M107" s="20"/>
      <c r="N107" s="15"/>
    </row>
    <row r="108" spans="1:14">
      <c r="A108" s="209"/>
      <c r="B108" s="211"/>
      <c r="C108" s="200"/>
      <c r="D108" s="201"/>
      <c r="E108" s="20" t="s">
        <v>318</v>
      </c>
      <c r="F108" s="14" t="s">
        <v>203</v>
      </c>
      <c r="G108" s="20"/>
      <c r="H108" s="20"/>
      <c r="I108" s="20"/>
      <c r="J108" s="20"/>
      <c r="K108" s="20"/>
      <c r="L108" s="20"/>
      <c r="M108" s="20"/>
      <c r="N108" s="15"/>
    </row>
    <row r="109" spans="1:14">
      <c r="A109" s="209"/>
      <c r="B109" s="211"/>
      <c r="C109" s="200"/>
      <c r="D109" s="201"/>
      <c r="E109" s="20" t="s">
        <v>319</v>
      </c>
      <c r="F109" s="14" t="s">
        <v>204</v>
      </c>
      <c r="G109" s="20"/>
      <c r="H109" s="20"/>
      <c r="I109" s="20"/>
      <c r="J109" s="20"/>
      <c r="K109" s="20"/>
      <c r="L109" s="20"/>
      <c r="M109" s="20"/>
      <c r="N109" s="15"/>
    </row>
    <row r="110" spans="1:14">
      <c r="A110" s="209"/>
      <c r="B110" s="211"/>
      <c r="C110" s="200"/>
      <c r="D110" s="201"/>
      <c r="E110" s="20" t="s">
        <v>320</v>
      </c>
      <c r="F110" s="14" t="s">
        <v>205</v>
      </c>
      <c r="G110" s="20"/>
      <c r="H110" s="20"/>
      <c r="I110" s="20"/>
      <c r="J110" s="20"/>
      <c r="K110" s="20"/>
      <c r="L110" s="20"/>
      <c r="M110" s="20"/>
      <c r="N110" s="15"/>
    </row>
    <row r="111" spans="1:14">
      <c r="A111" s="209"/>
      <c r="B111" s="211"/>
      <c r="C111" s="200"/>
      <c r="D111" s="201"/>
      <c r="E111" s="20" t="s">
        <v>321</v>
      </c>
      <c r="F111" s="14" t="s">
        <v>206</v>
      </c>
      <c r="G111" s="20"/>
      <c r="H111" s="20"/>
      <c r="I111" s="20"/>
      <c r="J111" s="20"/>
      <c r="K111" s="20"/>
      <c r="L111" s="20"/>
      <c r="M111" s="20"/>
      <c r="N111" s="15"/>
    </row>
    <row r="112" spans="1:14">
      <c r="A112" s="209"/>
      <c r="B112" s="211"/>
      <c r="C112" s="200"/>
      <c r="D112" s="201"/>
      <c r="E112" s="20" t="s">
        <v>322</v>
      </c>
      <c r="F112" s="14" t="s">
        <v>207</v>
      </c>
      <c r="G112" s="20"/>
      <c r="H112" s="20"/>
      <c r="I112" s="20"/>
      <c r="J112" s="20"/>
      <c r="K112" s="20"/>
      <c r="L112" s="20"/>
      <c r="M112" s="20"/>
      <c r="N112" s="15"/>
    </row>
    <row r="113" spans="1:14">
      <c r="A113" s="209"/>
      <c r="B113" s="211"/>
      <c r="C113" s="200"/>
      <c r="D113" s="201"/>
      <c r="E113" s="20" t="s">
        <v>323</v>
      </c>
      <c r="F113" s="14" t="s">
        <v>208</v>
      </c>
      <c r="G113" s="20"/>
      <c r="H113" s="20"/>
      <c r="I113" s="20"/>
      <c r="J113" s="20"/>
      <c r="K113" s="20"/>
      <c r="L113" s="20"/>
      <c r="M113" s="20"/>
      <c r="N113" s="15"/>
    </row>
    <row r="114" spans="1:14">
      <c r="A114" s="209"/>
      <c r="B114" s="211"/>
      <c r="C114" s="200"/>
      <c r="D114" s="201"/>
      <c r="E114" s="20" t="s">
        <v>324</v>
      </c>
      <c r="F114" s="14" t="s">
        <v>209</v>
      </c>
      <c r="G114" s="20"/>
      <c r="H114" s="20"/>
      <c r="I114" s="20"/>
      <c r="J114" s="20"/>
      <c r="K114" s="20"/>
      <c r="L114" s="20"/>
      <c r="M114" s="20"/>
      <c r="N114" s="15"/>
    </row>
    <row r="115" spans="1:14">
      <c r="A115" s="209"/>
      <c r="B115" s="211"/>
      <c r="C115" s="200"/>
      <c r="D115" s="201"/>
      <c r="E115" s="20" t="s">
        <v>325</v>
      </c>
      <c r="F115" s="14" t="s">
        <v>210</v>
      </c>
      <c r="G115" s="20"/>
      <c r="H115" s="20"/>
      <c r="I115" s="20"/>
      <c r="J115" s="20"/>
      <c r="K115" s="20"/>
      <c r="L115" s="20"/>
      <c r="M115" s="20"/>
      <c r="N115" s="15"/>
    </row>
    <row r="116" spans="1:14">
      <c r="A116" s="209"/>
      <c r="B116" s="211"/>
      <c r="C116" s="200"/>
      <c r="D116" s="201"/>
      <c r="E116" s="20" t="s">
        <v>326</v>
      </c>
      <c r="F116" s="14" t="s">
        <v>211</v>
      </c>
      <c r="G116" s="20"/>
      <c r="H116" s="20"/>
      <c r="I116" s="20"/>
      <c r="J116" s="20"/>
      <c r="K116" s="20"/>
      <c r="L116" s="20"/>
      <c r="M116" s="20"/>
      <c r="N116" s="15"/>
    </row>
    <row r="117" spans="1:14">
      <c r="A117" s="209"/>
      <c r="B117" s="211"/>
      <c r="C117" s="200"/>
      <c r="D117" s="201"/>
      <c r="E117" s="20" t="s">
        <v>327</v>
      </c>
      <c r="F117" s="14" t="s">
        <v>212</v>
      </c>
      <c r="G117" s="20"/>
      <c r="H117" s="20"/>
      <c r="I117" s="20"/>
      <c r="J117" s="20"/>
      <c r="K117" s="20"/>
      <c r="L117" s="20"/>
      <c r="M117" s="20"/>
      <c r="N117" s="15"/>
    </row>
    <row r="118" spans="1:14">
      <c r="A118" s="209"/>
      <c r="B118" s="211"/>
      <c r="C118" s="200"/>
      <c r="D118" s="201"/>
      <c r="E118" s="20" t="s">
        <v>328</v>
      </c>
      <c r="F118" s="14" t="s">
        <v>213</v>
      </c>
      <c r="G118" s="20"/>
      <c r="H118" s="20"/>
      <c r="I118" s="20"/>
      <c r="J118" s="20"/>
      <c r="K118" s="20"/>
      <c r="L118" s="20"/>
      <c r="M118" s="20"/>
      <c r="N118" s="15"/>
    </row>
    <row r="119" spans="1:14">
      <c r="A119" s="209"/>
      <c r="B119" s="211"/>
      <c r="C119" s="200"/>
      <c r="D119" s="201"/>
      <c r="E119" s="20" t="s">
        <v>329</v>
      </c>
      <c r="F119" s="14" t="s">
        <v>214</v>
      </c>
      <c r="G119" s="20"/>
      <c r="H119" s="20"/>
      <c r="I119" s="20"/>
      <c r="J119" s="20"/>
      <c r="K119" s="20"/>
      <c r="L119" s="20"/>
      <c r="M119" s="20"/>
      <c r="N119" s="15"/>
    </row>
    <row r="120" spans="1:14">
      <c r="A120" s="209"/>
      <c r="B120" s="211"/>
      <c r="C120" s="200"/>
      <c r="D120" s="201"/>
      <c r="E120" s="20" t="s">
        <v>330</v>
      </c>
      <c r="F120" s="14" t="s">
        <v>215</v>
      </c>
      <c r="G120" s="20"/>
      <c r="H120" s="20"/>
      <c r="I120" s="20"/>
      <c r="J120" s="20"/>
      <c r="K120" s="20"/>
      <c r="L120" s="20"/>
      <c r="M120" s="20"/>
      <c r="N120" s="15"/>
    </row>
    <row r="121" spans="1:14">
      <c r="A121" s="209"/>
      <c r="B121" s="211"/>
      <c r="C121" s="200"/>
      <c r="D121" s="201"/>
      <c r="E121" s="20" t="s">
        <v>331</v>
      </c>
      <c r="F121" s="14" t="s">
        <v>216</v>
      </c>
      <c r="G121" s="20"/>
      <c r="H121" s="20"/>
      <c r="I121" s="20"/>
      <c r="J121" s="20"/>
      <c r="K121" s="20"/>
      <c r="L121" s="20"/>
      <c r="M121" s="20"/>
      <c r="N121" s="15"/>
    </row>
    <row r="122" spans="1:14">
      <c r="A122" s="209"/>
      <c r="B122" s="211"/>
      <c r="C122" s="200"/>
      <c r="D122" s="201"/>
      <c r="E122" s="20" t="s">
        <v>332</v>
      </c>
      <c r="F122" s="14" t="s">
        <v>217</v>
      </c>
      <c r="G122" s="20"/>
      <c r="H122" s="20"/>
      <c r="I122" s="20"/>
      <c r="J122" s="20"/>
      <c r="K122" s="20"/>
      <c r="L122" s="20"/>
      <c r="M122" s="20"/>
      <c r="N122" s="15"/>
    </row>
    <row r="123" spans="1:14">
      <c r="A123" s="209"/>
      <c r="B123" s="211"/>
      <c r="C123" s="200"/>
      <c r="D123" s="201"/>
      <c r="E123" s="20" t="s">
        <v>333</v>
      </c>
      <c r="F123" s="14" t="s">
        <v>218</v>
      </c>
      <c r="G123" s="20"/>
      <c r="H123" s="20"/>
      <c r="I123" s="20"/>
      <c r="J123" s="20"/>
      <c r="K123" s="20"/>
      <c r="L123" s="20"/>
      <c r="M123" s="20"/>
      <c r="N123" s="15"/>
    </row>
    <row r="124" spans="1:14">
      <c r="A124" s="209"/>
      <c r="B124" s="211"/>
      <c r="C124" s="200"/>
      <c r="D124" s="201"/>
      <c r="E124" s="20" t="s">
        <v>334</v>
      </c>
      <c r="F124" s="14" t="s">
        <v>219</v>
      </c>
      <c r="G124" s="20"/>
      <c r="H124" s="20"/>
      <c r="I124" s="20"/>
      <c r="J124" s="20"/>
      <c r="K124" s="20"/>
      <c r="L124" s="20"/>
      <c r="M124" s="20"/>
      <c r="N124" s="15"/>
    </row>
    <row r="125" spans="1:14">
      <c r="A125" s="209"/>
      <c r="B125" s="211"/>
      <c r="C125" s="200"/>
      <c r="D125" s="201"/>
      <c r="E125" s="20" t="s">
        <v>335</v>
      </c>
      <c r="F125" s="14" t="s">
        <v>220</v>
      </c>
      <c r="G125" s="20"/>
      <c r="H125" s="20"/>
      <c r="I125" s="20"/>
      <c r="J125" s="20"/>
      <c r="K125" s="20"/>
      <c r="L125" s="20"/>
      <c r="M125" s="20"/>
      <c r="N125" s="15"/>
    </row>
    <row r="126" spans="1:14">
      <c r="A126" s="209"/>
      <c r="B126" s="211"/>
      <c r="C126" s="200"/>
      <c r="D126" s="201"/>
      <c r="E126" s="20" t="s">
        <v>336</v>
      </c>
      <c r="F126" s="14" t="s">
        <v>221</v>
      </c>
      <c r="G126" s="20"/>
      <c r="H126" s="20"/>
      <c r="I126" s="20"/>
      <c r="J126" s="20"/>
      <c r="K126" s="20"/>
      <c r="L126" s="20"/>
      <c r="M126" s="20"/>
      <c r="N126" s="15"/>
    </row>
    <row r="127" spans="1:14">
      <c r="A127" s="209"/>
      <c r="B127" s="211"/>
      <c r="C127" s="200"/>
      <c r="D127" s="201"/>
      <c r="E127" s="20" t="s">
        <v>337</v>
      </c>
      <c r="F127" s="14" t="s">
        <v>222</v>
      </c>
      <c r="G127" s="20"/>
      <c r="H127" s="20"/>
      <c r="I127" s="20"/>
      <c r="J127" s="20"/>
      <c r="K127" s="20"/>
      <c r="L127" s="20"/>
      <c r="M127" s="20"/>
      <c r="N127" s="15"/>
    </row>
    <row r="128" spans="1:14">
      <c r="A128" s="209"/>
      <c r="B128" s="211"/>
      <c r="C128" s="200"/>
      <c r="D128" s="201"/>
      <c r="E128" s="20" t="s">
        <v>338</v>
      </c>
      <c r="F128" s="14" t="s">
        <v>223</v>
      </c>
      <c r="G128" s="20"/>
      <c r="H128" s="20"/>
      <c r="I128" s="20"/>
      <c r="J128" s="20"/>
      <c r="K128" s="20"/>
      <c r="L128" s="20"/>
      <c r="M128" s="20"/>
      <c r="N128" s="15"/>
    </row>
    <row r="129" spans="1:14">
      <c r="A129" s="209"/>
      <c r="B129" s="211"/>
      <c r="C129" s="200"/>
      <c r="D129" s="201"/>
      <c r="E129" s="20" t="s">
        <v>339</v>
      </c>
      <c r="F129" s="14" t="s">
        <v>224</v>
      </c>
      <c r="G129" s="20"/>
      <c r="H129" s="20"/>
      <c r="I129" s="20"/>
      <c r="J129" s="20"/>
      <c r="K129" s="20"/>
      <c r="L129" s="20"/>
      <c r="M129" s="20"/>
      <c r="N129" s="15"/>
    </row>
    <row r="130" spans="1:14">
      <c r="A130" s="209"/>
      <c r="B130" s="211"/>
      <c r="C130" s="202"/>
      <c r="D130" s="203"/>
      <c r="E130" s="20" t="s">
        <v>340</v>
      </c>
      <c r="F130" s="14" t="s">
        <v>225</v>
      </c>
      <c r="G130" s="20"/>
      <c r="H130" s="20"/>
      <c r="I130" s="20"/>
      <c r="J130" s="20"/>
      <c r="K130" s="20"/>
      <c r="L130" s="20"/>
      <c r="M130" s="20"/>
      <c r="N130" s="15"/>
    </row>
    <row r="131" spans="1:14">
      <c r="A131" s="209"/>
      <c r="B131" s="211"/>
      <c r="C131" s="198" t="s">
        <v>87</v>
      </c>
      <c r="D131" s="199"/>
      <c r="E131" s="20" t="s">
        <v>341</v>
      </c>
      <c r="F131" s="14" t="s">
        <v>197</v>
      </c>
      <c r="G131" s="20"/>
      <c r="H131" s="20"/>
      <c r="I131" s="20"/>
      <c r="J131" s="20"/>
      <c r="K131" s="20"/>
      <c r="L131" s="20"/>
      <c r="M131" s="20"/>
      <c r="N131" s="15"/>
    </row>
    <row r="132" spans="1:14">
      <c r="A132" s="209"/>
      <c r="B132" s="211"/>
      <c r="C132" s="202"/>
      <c r="D132" s="203"/>
      <c r="E132" s="20" t="s">
        <v>342</v>
      </c>
      <c r="F132" s="14" t="s">
        <v>290</v>
      </c>
      <c r="G132" s="20"/>
      <c r="H132" s="20"/>
      <c r="I132" s="20"/>
      <c r="J132" s="20"/>
      <c r="K132" s="20"/>
      <c r="L132" s="20"/>
      <c r="M132" s="20"/>
      <c r="N132" s="15"/>
    </row>
    <row r="133" spans="1:14">
      <c r="A133" s="209"/>
      <c r="B133" s="211"/>
      <c r="C133" s="198" t="s">
        <v>88</v>
      </c>
      <c r="D133" s="199"/>
      <c r="E133" s="20" t="s">
        <v>343</v>
      </c>
      <c r="F133" s="14" t="s">
        <v>197</v>
      </c>
      <c r="G133" s="20"/>
      <c r="H133" s="20"/>
      <c r="I133" s="20"/>
      <c r="J133" s="20"/>
      <c r="K133" s="20"/>
      <c r="L133" s="20"/>
      <c r="M133" s="20"/>
      <c r="N133" s="15"/>
    </row>
    <row r="134" spans="1:14">
      <c r="A134" s="209"/>
      <c r="B134" s="211"/>
      <c r="C134" s="202"/>
      <c r="D134" s="203"/>
      <c r="E134" s="20" t="s">
        <v>344</v>
      </c>
      <c r="F134" s="14" t="s">
        <v>166</v>
      </c>
      <c r="G134" s="20"/>
      <c r="H134" s="20"/>
      <c r="I134" s="20"/>
      <c r="J134" s="20"/>
      <c r="K134" s="20"/>
      <c r="L134" s="20"/>
      <c r="M134" s="20"/>
      <c r="N134" s="15"/>
    </row>
    <row r="135" spans="1:14">
      <c r="A135" s="209"/>
      <c r="B135" s="211"/>
      <c r="C135" s="198" t="s">
        <v>89</v>
      </c>
      <c r="D135" s="199"/>
      <c r="E135" s="20" t="s">
        <v>345</v>
      </c>
      <c r="F135" s="14" t="s">
        <v>197</v>
      </c>
      <c r="G135" s="20"/>
      <c r="H135" s="20"/>
      <c r="I135" s="20"/>
      <c r="J135" s="20"/>
      <c r="K135" s="20"/>
      <c r="L135" s="20"/>
      <c r="M135" s="20"/>
      <c r="N135" s="15"/>
    </row>
    <row r="136" spans="1:14">
      <c r="A136" s="209"/>
      <c r="B136" s="211"/>
      <c r="C136" s="202"/>
      <c r="D136" s="203"/>
      <c r="E136" s="20" t="s">
        <v>346</v>
      </c>
      <c r="F136" s="14" t="s">
        <v>166</v>
      </c>
      <c r="G136" s="20"/>
      <c r="H136" s="20"/>
      <c r="I136" s="20"/>
      <c r="J136" s="20"/>
      <c r="K136" s="20"/>
      <c r="L136" s="20"/>
      <c r="M136" s="20"/>
      <c r="N136" s="15"/>
    </row>
    <row r="137" spans="1:14">
      <c r="A137" s="204">
        <v>2</v>
      </c>
      <c r="B137" s="187" t="s">
        <v>90</v>
      </c>
      <c r="C137" s="188" t="s">
        <v>85</v>
      </c>
      <c r="D137" s="189"/>
      <c r="E137" s="54" t="s">
        <v>347</v>
      </c>
      <c r="F137" s="55">
        <v>1</v>
      </c>
      <c r="G137" s="54"/>
      <c r="H137" s="54"/>
      <c r="I137" s="57" t="s">
        <v>674</v>
      </c>
      <c r="J137" s="54"/>
      <c r="K137" s="54" t="s">
        <v>131</v>
      </c>
      <c r="L137" s="54"/>
      <c r="M137" s="54"/>
      <c r="N137" s="56"/>
    </row>
    <row r="138" spans="1:14">
      <c r="A138" s="204"/>
      <c r="B138" s="187"/>
      <c r="C138" s="190"/>
      <c r="D138" s="191"/>
      <c r="E138" s="54" t="s">
        <v>348</v>
      </c>
      <c r="F138" s="55">
        <v>2</v>
      </c>
      <c r="G138" s="54"/>
      <c r="H138" s="54"/>
      <c r="I138" s="57" t="s">
        <v>675</v>
      </c>
      <c r="J138" s="54"/>
      <c r="K138" s="54" t="s">
        <v>130</v>
      </c>
      <c r="L138" s="54"/>
      <c r="M138" s="54"/>
      <c r="N138" s="56" t="s">
        <v>673</v>
      </c>
    </row>
    <row r="139" spans="1:14">
      <c r="A139" s="204"/>
      <c r="B139" s="187"/>
      <c r="C139" s="190"/>
      <c r="D139" s="191"/>
      <c r="E139" s="54" t="s">
        <v>349</v>
      </c>
      <c r="F139" s="55">
        <v>3</v>
      </c>
      <c r="G139" s="54"/>
      <c r="H139" s="54"/>
      <c r="I139" s="57" t="s">
        <v>674</v>
      </c>
      <c r="J139" s="54"/>
      <c r="K139" s="54" t="s">
        <v>130</v>
      </c>
      <c r="L139" s="54"/>
      <c r="M139" s="54"/>
      <c r="N139" s="56"/>
    </row>
    <row r="140" spans="1:14">
      <c r="A140" s="204"/>
      <c r="B140" s="187"/>
      <c r="C140" s="190"/>
      <c r="D140" s="191"/>
      <c r="E140" s="54" t="s">
        <v>350</v>
      </c>
      <c r="F140" s="55">
        <v>4</v>
      </c>
      <c r="G140" s="54"/>
      <c r="H140" s="54"/>
      <c r="I140" s="57" t="s">
        <v>674</v>
      </c>
      <c r="J140" s="54"/>
      <c r="K140" s="54" t="s">
        <v>130</v>
      </c>
      <c r="L140" s="54"/>
      <c r="M140" s="54"/>
      <c r="N140" s="56"/>
    </row>
    <row r="141" spans="1:14">
      <c r="A141" s="204"/>
      <c r="B141" s="187"/>
      <c r="C141" s="190"/>
      <c r="D141" s="191"/>
      <c r="E141" s="54" t="s">
        <v>351</v>
      </c>
      <c r="F141" s="55">
        <v>5</v>
      </c>
      <c r="G141" s="54"/>
      <c r="H141" s="54"/>
      <c r="I141" s="57" t="s">
        <v>674</v>
      </c>
      <c r="J141" s="54"/>
      <c r="K141" s="54" t="s">
        <v>130</v>
      </c>
      <c r="L141" s="54"/>
      <c r="M141" s="54"/>
      <c r="N141" s="56"/>
    </row>
    <row r="142" spans="1:14">
      <c r="A142" s="204"/>
      <c r="B142" s="187"/>
      <c r="C142" s="190"/>
      <c r="D142" s="191"/>
      <c r="E142" s="54" t="s">
        <v>352</v>
      </c>
      <c r="F142" s="55">
        <v>6</v>
      </c>
      <c r="G142" s="54"/>
      <c r="H142" s="54"/>
      <c r="I142" s="57" t="s">
        <v>674</v>
      </c>
      <c r="J142" s="54"/>
      <c r="K142" s="54" t="s">
        <v>130</v>
      </c>
      <c r="L142" s="54"/>
      <c r="M142" s="54"/>
      <c r="N142" s="56"/>
    </row>
    <row r="143" spans="1:14">
      <c r="A143" s="204"/>
      <c r="B143" s="187"/>
      <c r="C143" s="190"/>
      <c r="D143" s="191"/>
      <c r="E143" s="54" t="s">
        <v>353</v>
      </c>
      <c r="F143" s="55">
        <v>7</v>
      </c>
      <c r="G143" s="54"/>
      <c r="H143" s="54"/>
      <c r="I143" s="54"/>
      <c r="J143" s="54"/>
      <c r="K143" s="54" t="s">
        <v>130</v>
      </c>
      <c r="L143" s="54"/>
      <c r="M143" s="54"/>
      <c r="N143" s="56"/>
    </row>
    <row r="144" spans="1:14">
      <c r="A144" s="204"/>
      <c r="B144" s="187"/>
      <c r="C144" s="190"/>
      <c r="D144" s="191"/>
      <c r="E144" s="54" t="s">
        <v>354</v>
      </c>
      <c r="F144" s="55">
        <v>8</v>
      </c>
      <c r="G144" s="54"/>
      <c r="H144" s="54"/>
      <c r="I144" s="57" t="s">
        <v>675</v>
      </c>
      <c r="J144" s="54"/>
      <c r="K144" s="54" t="s">
        <v>130</v>
      </c>
      <c r="L144" s="54"/>
      <c r="M144" s="54"/>
      <c r="N144" s="56" t="s">
        <v>136</v>
      </c>
    </row>
    <row r="145" spans="1:14">
      <c r="A145" s="204"/>
      <c r="B145" s="187"/>
      <c r="C145" s="190"/>
      <c r="D145" s="191"/>
      <c r="E145" s="54" t="s">
        <v>355</v>
      </c>
      <c r="F145" s="55">
        <v>9</v>
      </c>
      <c r="G145" s="54"/>
      <c r="H145" s="54"/>
      <c r="I145" s="54"/>
      <c r="J145" s="54"/>
      <c r="K145" s="54" t="s">
        <v>130</v>
      </c>
      <c r="L145" s="54"/>
      <c r="M145" s="54"/>
      <c r="N145" s="56"/>
    </row>
    <row r="146" spans="1:14">
      <c r="A146" s="204"/>
      <c r="B146" s="187"/>
      <c r="C146" s="190"/>
      <c r="D146" s="191"/>
      <c r="E146" s="54" t="s">
        <v>356</v>
      </c>
      <c r="F146" s="55">
        <v>10</v>
      </c>
      <c r="G146" s="54"/>
      <c r="H146" s="54"/>
      <c r="I146" s="54" t="s">
        <v>130</v>
      </c>
      <c r="J146" s="54"/>
      <c r="K146" s="54" t="s">
        <v>130</v>
      </c>
      <c r="L146" s="54"/>
      <c r="M146" s="54"/>
      <c r="N146" s="56"/>
    </row>
    <row r="147" spans="1:14">
      <c r="A147" s="204"/>
      <c r="B147" s="187"/>
      <c r="C147" s="190"/>
      <c r="D147" s="191"/>
      <c r="E147" s="54" t="s">
        <v>357</v>
      </c>
      <c r="F147" s="55">
        <v>11</v>
      </c>
      <c r="G147" s="54"/>
      <c r="H147" s="54"/>
      <c r="I147" s="54" t="s">
        <v>130</v>
      </c>
      <c r="J147" s="54"/>
      <c r="K147" s="54" t="s">
        <v>130</v>
      </c>
      <c r="L147" s="54"/>
      <c r="M147" s="54"/>
      <c r="N147" s="56"/>
    </row>
    <row r="148" spans="1:14">
      <c r="A148" s="204"/>
      <c r="B148" s="187"/>
      <c r="C148" s="190"/>
      <c r="D148" s="191"/>
      <c r="E148" s="54" t="s">
        <v>358</v>
      </c>
      <c r="F148" s="55">
        <v>12</v>
      </c>
      <c r="G148" s="54"/>
      <c r="H148" s="54"/>
      <c r="I148" s="54" t="s">
        <v>130</v>
      </c>
      <c r="J148" s="54"/>
      <c r="K148" s="54" t="s">
        <v>130</v>
      </c>
      <c r="L148" s="54"/>
      <c r="M148" s="54"/>
      <c r="N148" s="56" t="s">
        <v>138</v>
      </c>
    </row>
    <row r="149" spans="1:14">
      <c r="A149" s="204"/>
      <c r="B149" s="187"/>
      <c r="C149" s="190"/>
      <c r="D149" s="191"/>
      <c r="E149" s="54" t="s">
        <v>359</v>
      </c>
      <c r="F149" s="55">
        <v>13</v>
      </c>
      <c r="G149" s="54"/>
      <c r="H149" s="54"/>
      <c r="I149" s="57" t="s">
        <v>674</v>
      </c>
      <c r="J149" s="54"/>
      <c r="K149" s="54" t="s">
        <v>130</v>
      </c>
      <c r="L149" s="54"/>
      <c r="M149" s="54"/>
      <c r="N149" s="56" t="s">
        <v>139</v>
      </c>
    </row>
    <row r="150" spans="1:14">
      <c r="A150" s="204"/>
      <c r="B150" s="187"/>
      <c r="C150" s="190"/>
      <c r="D150" s="191"/>
      <c r="E150" s="54" t="s">
        <v>360</v>
      </c>
      <c r="F150" s="55">
        <v>14</v>
      </c>
      <c r="G150" s="54"/>
      <c r="H150" s="54"/>
      <c r="I150" s="57" t="s">
        <v>674</v>
      </c>
      <c r="J150" s="54"/>
      <c r="K150" s="54" t="s">
        <v>130</v>
      </c>
      <c r="L150" s="54"/>
      <c r="M150" s="54"/>
      <c r="N150" s="56"/>
    </row>
    <row r="151" spans="1:14">
      <c r="A151" s="204"/>
      <c r="B151" s="187"/>
      <c r="C151" s="190"/>
      <c r="D151" s="191"/>
      <c r="E151" s="54" t="s">
        <v>361</v>
      </c>
      <c r="F151" s="55">
        <v>15</v>
      </c>
      <c r="G151" s="54"/>
      <c r="H151" s="54"/>
      <c r="I151" s="54" t="s">
        <v>130</v>
      </c>
      <c r="J151" s="54"/>
      <c r="K151" s="54" t="s">
        <v>130</v>
      </c>
      <c r="L151" s="54"/>
      <c r="M151" s="54"/>
      <c r="N151" s="56"/>
    </row>
    <row r="152" spans="1:14">
      <c r="A152" s="204"/>
      <c r="B152" s="187"/>
      <c r="C152" s="190"/>
      <c r="D152" s="191"/>
      <c r="E152" s="54" t="s">
        <v>362</v>
      </c>
      <c r="F152" s="55">
        <v>16</v>
      </c>
      <c r="G152" s="54"/>
      <c r="H152" s="54"/>
      <c r="I152" s="54" t="s">
        <v>130</v>
      </c>
      <c r="J152" s="54"/>
      <c r="K152" s="54" t="s">
        <v>130</v>
      </c>
      <c r="L152" s="54"/>
      <c r="M152" s="54"/>
      <c r="N152" s="56" t="s">
        <v>137</v>
      </c>
    </row>
    <row r="153" spans="1:14">
      <c r="A153" s="204"/>
      <c r="B153" s="187"/>
      <c r="C153" s="190"/>
      <c r="D153" s="191"/>
      <c r="E153" s="54" t="s">
        <v>363</v>
      </c>
      <c r="F153" s="55">
        <v>17</v>
      </c>
      <c r="G153" s="54"/>
      <c r="H153" s="54"/>
      <c r="I153" s="54"/>
      <c r="J153" s="54"/>
      <c r="K153" s="54" t="s">
        <v>130</v>
      </c>
      <c r="L153" s="54"/>
      <c r="M153" s="54"/>
      <c r="N153" s="56" t="s">
        <v>141</v>
      </c>
    </row>
    <row r="154" spans="1:14">
      <c r="A154" s="204"/>
      <c r="B154" s="187"/>
      <c r="C154" s="192"/>
      <c r="D154" s="193"/>
      <c r="E154" s="54" t="s">
        <v>364</v>
      </c>
      <c r="F154" s="55">
        <v>18</v>
      </c>
      <c r="G154" s="54"/>
      <c r="H154" s="54"/>
      <c r="I154" s="57" t="s">
        <v>674</v>
      </c>
      <c r="J154" s="54"/>
      <c r="K154" s="54" t="s">
        <v>130</v>
      </c>
      <c r="L154" s="54"/>
      <c r="M154" s="54"/>
      <c r="N154" s="56" t="s">
        <v>140</v>
      </c>
    </row>
    <row r="155" spans="1:14">
      <c r="A155" s="204"/>
      <c r="B155" s="187"/>
      <c r="C155" s="204" t="s">
        <v>86</v>
      </c>
      <c r="D155" s="204"/>
      <c r="E155" s="54" t="s">
        <v>365</v>
      </c>
      <c r="F155" s="55">
        <v>1</v>
      </c>
      <c r="G155" s="54"/>
      <c r="H155" s="54"/>
      <c r="I155" s="57" t="s">
        <v>674</v>
      </c>
      <c r="J155" s="54"/>
      <c r="K155" s="54" t="s">
        <v>130</v>
      </c>
      <c r="L155" s="54"/>
      <c r="M155" s="54"/>
      <c r="N155" s="56" t="s">
        <v>142</v>
      </c>
    </row>
    <row r="156" spans="1:14">
      <c r="A156" s="204"/>
      <c r="B156" s="187"/>
      <c r="C156" s="204"/>
      <c r="D156" s="204"/>
      <c r="E156" s="54" t="s">
        <v>366</v>
      </c>
      <c r="F156" s="55">
        <v>2</v>
      </c>
      <c r="G156" s="54"/>
      <c r="H156" s="54"/>
      <c r="I156" s="57" t="s">
        <v>674</v>
      </c>
      <c r="J156" s="54"/>
      <c r="K156" s="54" t="s">
        <v>130</v>
      </c>
      <c r="L156" s="54"/>
      <c r="M156" s="54"/>
      <c r="N156" s="56" t="s">
        <v>143</v>
      </c>
    </row>
    <row r="157" spans="1:14">
      <c r="A157" s="204"/>
      <c r="B157" s="187"/>
      <c r="C157" s="204"/>
      <c r="D157" s="204"/>
      <c r="E157" s="54" t="s">
        <v>367</v>
      </c>
      <c r="F157" s="55">
        <v>3</v>
      </c>
      <c r="G157" s="54"/>
      <c r="H157" s="54"/>
      <c r="I157" s="54" t="s">
        <v>130</v>
      </c>
      <c r="J157" s="54"/>
      <c r="K157" s="54" t="s">
        <v>130</v>
      </c>
      <c r="L157" s="54"/>
      <c r="M157" s="54"/>
      <c r="N157" s="56" t="s">
        <v>144</v>
      </c>
    </row>
    <row r="158" spans="1:14">
      <c r="A158" s="204"/>
      <c r="B158" s="187"/>
      <c r="C158" s="204" t="s">
        <v>125</v>
      </c>
      <c r="D158" s="204"/>
      <c r="E158" s="54" t="s">
        <v>368</v>
      </c>
      <c r="F158" s="55">
        <v>1</v>
      </c>
      <c r="G158" s="54"/>
      <c r="H158" s="54"/>
      <c r="I158" s="54"/>
      <c r="J158" s="54"/>
      <c r="K158" s="54"/>
      <c r="L158" s="54"/>
      <c r="M158" s="54"/>
      <c r="N158" s="56"/>
    </row>
    <row r="159" spans="1:14">
      <c r="A159" s="204"/>
      <c r="B159" s="187"/>
      <c r="C159" s="204"/>
      <c r="D159" s="204"/>
      <c r="E159" s="54" t="s">
        <v>369</v>
      </c>
      <c r="F159" s="55">
        <v>2</v>
      </c>
      <c r="G159" s="54"/>
      <c r="H159" s="54"/>
      <c r="I159" s="57" t="s">
        <v>676</v>
      </c>
      <c r="J159" s="54"/>
      <c r="K159" s="54" t="s">
        <v>616</v>
      </c>
      <c r="L159" s="54"/>
      <c r="M159" s="54"/>
      <c r="N159" s="56" t="s">
        <v>145</v>
      </c>
    </row>
    <row r="160" spans="1:14">
      <c r="A160" s="204"/>
      <c r="B160" s="187"/>
      <c r="C160" s="204"/>
      <c r="D160" s="204"/>
      <c r="E160" s="54" t="s">
        <v>370</v>
      </c>
      <c r="F160" s="55">
        <v>3</v>
      </c>
      <c r="G160" s="54"/>
      <c r="H160" s="54"/>
      <c r="I160" s="54"/>
      <c r="J160" s="54"/>
      <c r="K160" s="54"/>
      <c r="L160" s="54"/>
      <c r="M160" s="54"/>
      <c r="N160" s="56"/>
    </row>
    <row r="161" spans="1:14">
      <c r="A161" s="204"/>
      <c r="B161" s="187"/>
      <c r="C161" s="204"/>
      <c r="D161" s="204"/>
      <c r="E161" s="54" t="s">
        <v>371</v>
      </c>
      <c r="F161" s="55">
        <v>4</v>
      </c>
      <c r="G161" s="54"/>
      <c r="H161" s="54"/>
      <c r="I161" s="54"/>
      <c r="J161" s="54"/>
      <c r="K161" s="54"/>
      <c r="L161" s="54"/>
      <c r="M161" s="54"/>
      <c r="N161" s="56"/>
    </row>
    <row r="162" spans="1:14">
      <c r="A162" s="209">
        <v>3</v>
      </c>
      <c r="B162" s="211" t="s">
        <v>90</v>
      </c>
      <c r="C162" s="198" t="s">
        <v>91</v>
      </c>
      <c r="D162" s="199"/>
      <c r="E162" s="20" t="s">
        <v>372</v>
      </c>
      <c r="F162" s="14">
        <v>1</v>
      </c>
      <c r="G162" s="20"/>
      <c r="H162" s="20"/>
      <c r="I162" s="20" t="s">
        <v>674</v>
      </c>
      <c r="J162" s="20"/>
      <c r="K162" s="20"/>
      <c r="L162" s="20"/>
      <c r="M162" s="20"/>
      <c r="N162" s="15"/>
    </row>
    <row r="163" spans="1:14">
      <c r="A163" s="209"/>
      <c r="B163" s="211"/>
      <c r="C163" s="200"/>
      <c r="D163" s="201"/>
      <c r="E163" s="20" t="s">
        <v>373</v>
      </c>
      <c r="F163" s="14">
        <v>2</v>
      </c>
      <c r="G163" s="20"/>
      <c r="H163" s="20"/>
      <c r="I163" s="20" t="s">
        <v>674</v>
      </c>
      <c r="J163" s="20"/>
      <c r="K163" s="20"/>
      <c r="L163" s="20"/>
      <c r="M163" s="20"/>
      <c r="N163" s="15"/>
    </row>
    <row r="164" spans="1:14">
      <c r="A164" s="209"/>
      <c r="B164" s="211"/>
      <c r="C164" s="200"/>
      <c r="D164" s="201"/>
      <c r="E164" s="20" t="s">
        <v>374</v>
      </c>
      <c r="F164" s="14">
        <v>3</v>
      </c>
      <c r="G164" s="20"/>
      <c r="H164" s="20"/>
      <c r="I164" s="20" t="s">
        <v>674</v>
      </c>
      <c r="J164" s="20"/>
      <c r="K164" s="20"/>
      <c r="L164" s="20"/>
      <c r="M164" s="20"/>
      <c r="N164" s="15"/>
    </row>
    <row r="165" spans="1:14">
      <c r="A165" s="209"/>
      <c r="B165" s="211"/>
      <c r="C165" s="200"/>
      <c r="D165" s="201"/>
      <c r="E165" s="20" t="s">
        <v>375</v>
      </c>
      <c r="F165" s="14">
        <v>4</v>
      </c>
      <c r="G165" s="20"/>
      <c r="H165" s="20"/>
      <c r="I165" s="20" t="s">
        <v>674</v>
      </c>
      <c r="J165" s="20"/>
      <c r="K165" s="20"/>
      <c r="L165" s="20"/>
      <c r="M165" s="20"/>
      <c r="N165" s="15" t="s">
        <v>148</v>
      </c>
    </row>
    <row r="166" spans="1:14">
      <c r="A166" s="209"/>
      <c r="B166" s="211"/>
      <c r="C166" s="200"/>
      <c r="D166" s="201"/>
      <c r="E166" s="20" t="s">
        <v>376</v>
      </c>
      <c r="F166" s="14" t="s">
        <v>147</v>
      </c>
      <c r="G166" s="20"/>
      <c r="H166" s="20"/>
      <c r="I166" s="20" t="s">
        <v>674</v>
      </c>
      <c r="J166" s="20"/>
      <c r="K166" s="20"/>
      <c r="L166" s="20"/>
      <c r="M166" s="20"/>
      <c r="N166" s="15"/>
    </row>
    <row r="167" spans="1:14">
      <c r="A167" s="209"/>
      <c r="B167" s="211"/>
      <c r="C167" s="200"/>
      <c r="D167" s="201"/>
      <c r="E167" s="20" t="s">
        <v>377</v>
      </c>
      <c r="F167" s="14">
        <v>5</v>
      </c>
      <c r="G167" s="20"/>
      <c r="H167" s="20"/>
      <c r="I167" s="20" t="s">
        <v>674</v>
      </c>
      <c r="J167" s="20"/>
      <c r="K167" s="20" t="s">
        <v>130</v>
      </c>
      <c r="L167" s="20"/>
      <c r="M167" s="20"/>
      <c r="N167" s="15"/>
    </row>
    <row r="168" spans="1:14">
      <c r="A168" s="209"/>
      <c r="B168" s="211"/>
      <c r="C168" s="200"/>
      <c r="D168" s="201"/>
      <c r="E168" s="20" t="s">
        <v>378</v>
      </c>
      <c r="F168" s="14">
        <v>6</v>
      </c>
      <c r="G168" s="20"/>
      <c r="H168" s="20"/>
      <c r="I168" s="20" t="s">
        <v>674</v>
      </c>
      <c r="J168" s="20"/>
      <c r="K168" s="20"/>
      <c r="L168" s="20"/>
      <c r="M168" s="20"/>
      <c r="N168" s="15" t="s">
        <v>149</v>
      </c>
    </row>
    <row r="169" spans="1:14">
      <c r="A169" s="209"/>
      <c r="B169" s="211"/>
      <c r="C169" s="200"/>
      <c r="D169" s="201"/>
      <c r="E169" s="20" t="s">
        <v>379</v>
      </c>
      <c r="F169" s="14">
        <v>7</v>
      </c>
      <c r="G169" s="20"/>
      <c r="H169" s="20"/>
      <c r="I169" s="20" t="s">
        <v>674</v>
      </c>
      <c r="J169" s="20"/>
      <c r="K169" s="20" t="s">
        <v>130</v>
      </c>
      <c r="L169" s="20"/>
      <c r="M169" s="20"/>
      <c r="N169" s="15" t="s">
        <v>150</v>
      </c>
    </row>
    <row r="170" spans="1:14">
      <c r="A170" s="209"/>
      <c r="B170" s="211"/>
      <c r="C170" s="200"/>
      <c r="D170" s="201"/>
      <c r="E170" s="20" t="s">
        <v>380</v>
      </c>
      <c r="F170" s="14">
        <v>8</v>
      </c>
      <c r="G170" s="20"/>
      <c r="H170" s="20"/>
      <c r="I170" s="20" t="s">
        <v>674</v>
      </c>
      <c r="J170" s="20"/>
      <c r="K170" s="20" t="s">
        <v>130</v>
      </c>
      <c r="L170" s="20"/>
      <c r="M170" s="20"/>
      <c r="N170" s="15" t="s">
        <v>154</v>
      </c>
    </row>
    <row r="171" spans="1:14">
      <c r="A171" s="209"/>
      <c r="B171" s="211"/>
      <c r="C171" s="202"/>
      <c r="D171" s="203"/>
      <c r="E171" s="20" t="s">
        <v>381</v>
      </c>
      <c r="F171" s="14">
        <v>9</v>
      </c>
      <c r="G171" s="20"/>
      <c r="H171" s="20"/>
      <c r="I171" s="20"/>
      <c r="J171" s="20"/>
      <c r="K171" s="20" t="s">
        <v>130</v>
      </c>
      <c r="L171" s="20"/>
      <c r="M171" s="20"/>
      <c r="N171" s="15"/>
    </row>
    <row r="172" spans="1:14">
      <c r="A172" s="209"/>
      <c r="B172" s="211"/>
      <c r="C172" s="198" t="s">
        <v>86</v>
      </c>
      <c r="D172" s="199"/>
      <c r="E172" s="20" t="s">
        <v>382</v>
      </c>
      <c r="F172" s="14">
        <v>1</v>
      </c>
      <c r="G172" s="20"/>
      <c r="H172" s="20"/>
      <c r="I172" s="20"/>
      <c r="J172" s="20"/>
      <c r="K172" s="20"/>
      <c r="L172" s="20"/>
      <c r="M172" s="20"/>
      <c r="N172" s="15" t="s">
        <v>155</v>
      </c>
    </row>
    <row r="173" spans="1:14">
      <c r="A173" s="209"/>
      <c r="B173" s="211"/>
      <c r="C173" s="200"/>
      <c r="D173" s="201"/>
      <c r="E173" s="20" t="s">
        <v>383</v>
      </c>
      <c r="F173" s="14">
        <v>2</v>
      </c>
      <c r="G173" s="20"/>
      <c r="H173" s="20"/>
      <c r="I173" s="20" t="s">
        <v>674</v>
      </c>
      <c r="J173" s="20"/>
      <c r="K173" s="20" t="s">
        <v>130</v>
      </c>
      <c r="L173" s="20"/>
      <c r="M173" s="20"/>
      <c r="N173" s="15"/>
    </row>
    <row r="174" spans="1:14">
      <c r="A174" s="209"/>
      <c r="B174" s="211"/>
      <c r="C174" s="200"/>
      <c r="D174" s="201"/>
      <c r="E174" s="20" t="s">
        <v>384</v>
      </c>
      <c r="F174" s="14">
        <v>3</v>
      </c>
      <c r="G174" s="20"/>
      <c r="H174" s="20"/>
      <c r="I174" s="20"/>
      <c r="J174" s="20"/>
      <c r="K174" s="20" t="s">
        <v>130</v>
      </c>
      <c r="L174" s="20"/>
      <c r="M174" s="20"/>
      <c r="N174" s="15"/>
    </row>
    <row r="175" spans="1:14">
      <c r="A175" s="209"/>
      <c r="B175" s="211"/>
      <c r="C175" s="200"/>
      <c r="D175" s="201"/>
      <c r="E175" s="20" t="s">
        <v>385</v>
      </c>
      <c r="F175" s="14">
        <v>4</v>
      </c>
      <c r="G175" s="20"/>
      <c r="H175" s="20"/>
      <c r="I175" s="20" t="s">
        <v>674</v>
      </c>
      <c r="J175" s="20"/>
      <c r="K175" s="20" t="s">
        <v>130</v>
      </c>
      <c r="L175" s="20"/>
      <c r="M175" s="20"/>
      <c r="N175" s="15" t="s">
        <v>151</v>
      </c>
    </row>
    <row r="176" spans="1:14">
      <c r="A176" s="209"/>
      <c r="B176" s="211"/>
      <c r="C176" s="200"/>
      <c r="D176" s="201"/>
      <c r="E176" s="20" t="s">
        <v>386</v>
      </c>
      <c r="F176" s="14">
        <v>5</v>
      </c>
      <c r="G176" s="20"/>
      <c r="H176" s="20"/>
      <c r="I176" s="20" t="s">
        <v>674</v>
      </c>
      <c r="J176" s="20"/>
      <c r="K176" s="20"/>
      <c r="L176" s="20"/>
      <c r="M176" s="20"/>
      <c r="N176" s="15"/>
    </row>
    <row r="177" spans="1:14">
      <c r="A177" s="209"/>
      <c r="B177" s="211"/>
      <c r="C177" s="200"/>
      <c r="D177" s="201"/>
      <c r="E177" s="20" t="s">
        <v>387</v>
      </c>
      <c r="F177" s="14">
        <v>6</v>
      </c>
      <c r="G177" s="20"/>
      <c r="H177" s="20"/>
      <c r="I177" s="20" t="s">
        <v>674</v>
      </c>
      <c r="J177" s="20"/>
      <c r="K177" s="20"/>
      <c r="L177" s="20"/>
      <c r="M177" s="20"/>
      <c r="N177" s="15" t="s">
        <v>156</v>
      </c>
    </row>
    <row r="178" spans="1:14">
      <c r="A178" s="209"/>
      <c r="B178" s="211"/>
      <c r="C178" s="200"/>
      <c r="D178" s="201"/>
      <c r="E178" s="20" t="s">
        <v>388</v>
      </c>
      <c r="F178" s="14">
        <v>7</v>
      </c>
      <c r="G178" s="20"/>
      <c r="H178" s="20"/>
      <c r="I178" s="20" t="s">
        <v>674</v>
      </c>
      <c r="J178" s="20"/>
      <c r="K178" s="20"/>
      <c r="L178" s="20"/>
      <c r="M178" s="20"/>
      <c r="N178" s="15" t="s">
        <v>157</v>
      </c>
    </row>
    <row r="179" spans="1:14">
      <c r="A179" s="209"/>
      <c r="B179" s="211"/>
      <c r="C179" s="200"/>
      <c r="D179" s="201"/>
      <c r="E179" s="20" t="s">
        <v>389</v>
      </c>
      <c r="F179" s="14">
        <v>8</v>
      </c>
      <c r="G179" s="20"/>
      <c r="H179" s="20"/>
      <c r="I179" s="20" t="s">
        <v>677</v>
      </c>
      <c r="J179" s="20"/>
      <c r="K179" s="20"/>
      <c r="L179" s="20"/>
      <c r="M179" s="20"/>
      <c r="N179" s="15"/>
    </row>
    <row r="180" spans="1:14">
      <c r="A180" s="209"/>
      <c r="B180" s="211"/>
      <c r="C180" s="200"/>
      <c r="D180" s="201"/>
      <c r="E180" s="20" t="s">
        <v>390</v>
      </c>
      <c r="F180" s="14">
        <v>9</v>
      </c>
      <c r="G180" s="20"/>
      <c r="H180" s="20"/>
      <c r="I180" s="20"/>
      <c r="J180" s="20"/>
      <c r="K180" s="20" t="s">
        <v>130</v>
      </c>
      <c r="L180" s="20"/>
      <c r="M180" s="20"/>
      <c r="N180" s="15"/>
    </row>
    <row r="181" spans="1:14">
      <c r="A181" s="209"/>
      <c r="B181" s="211"/>
      <c r="C181" s="200"/>
      <c r="D181" s="201"/>
      <c r="E181" s="20" t="s">
        <v>391</v>
      </c>
      <c r="F181" s="14">
        <v>10</v>
      </c>
      <c r="G181" s="20"/>
      <c r="H181" s="20"/>
      <c r="I181" s="20"/>
      <c r="J181" s="20"/>
      <c r="K181" s="20"/>
      <c r="L181" s="20"/>
      <c r="M181" s="20"/>
      <c r="N181" s="15"/>
    </row>
    <row r="182" spans="1:14">
      <c r="A182" s="209"/>
      <c r="B182" s="211"/>
      <c r="C182" s="202"/>
      <c r="D182" s="203"/>
      <c r="E182" s="20" t="s">
        <v>392</v>
      </c>
      <c r="F182" s="14">
        <v>11</v>
      </c>
      <c r="G182" s="20"/>
      <c r="H182" s="20"/>
      <c r="I182" s="20"/>
      <c r="J182" s="20"/>
      <c r="K182" s="20"/>
      <c r="L182" s="20"/>
      <c r="M182" s="20"/>
      <c r="N182" s="15"/>
    </row>
    <row r="183" spans="1:14">
      <c r="A183" s="194">
        <v>4</v>
      </c>
      <c r="B183" s="194" t="s">
        <v>162</v>
      </c>
      <c r="C183" s="188" t="s">
        <v>161</v>
      </c>
      <c r="D183" s="189"/>
      <c r="E183" s="54" t="s">
        <v>393</v>
      </c>
      <c r="F183" s="55" t="s">
        <v>164</v>
      </c>
      <c r="G183" s="54"/>
      <c r="H183" s="54"/>
      <c r="I183" s="57" t="s">
        <v>674</v>
      </c>
      <c r="J183" s="54"/>
      <c r="K183" s="54"/>
      <c r="L183" s="54"/>
      <c r="M183" s="54"/>
      <c r="N183" s="56"/>
    </row>
    <row r="184" spans="1:14">
      <c r="A184" s="195"/>
      <c r="B184" s="195"/>
      <c r="C184" s="190"/>
      <c r="D184" s="191"/>
      <c r="E184" s="54" t="s">
        <v>394</v>
      </c>
      <c r="F184" s="55" t="s">
        <v>166</v>
      </c>
      <c r="G184" s="54"/>
      <c r="H184" s="54"/>
      <c r="I184" s="57" t="s">
        <v>674</v>
      </c>
      <c r="J184" s="54"/>
      <c r="K184" s="54"/>
      <c r="L184" s="54"/>
      <c r="M184" s="54"/>
      <c r="N184" s="56"/>
    </row>
    <row r="185" spans="1:14">
      <c r="A185" s="195"/>
      <c r="B185" s="195"/>
      <c r="C185" s="190"/>
      <c r="D185" s="191"/>
      <c r="E185" s="54" t="s">
        <v>395</v>
      </c>
      <c r="F185" s="55" t="s">
        <v>168</v>
      </c>
      <c r="G185" s="54"/>
      <c r="H185" s="54"/>
      <c r="I185" s="57" t="s">
        <v>674</v>
      </c>
      <c r="J185" s="54"/>
      <c r="K185" s="54"/>
      <c r="L185" s="54"/>
      <c r="M185" s="54"/>
      <c r="N185" s="56"/>
    </row>
    <row r="186" spans="1:14">
      <c r="A186" s="195"/>
      <c r="B186" s="196"/>
      <c r="C186" s="192"/>
      <c r="D186" s="193"/>
      <c r="E186" s="54" t="s">
        <v>396</v>
      </c>
      <c r="F186" s="55" t="s">
        <v>170</v>
      </c>
      <c r="G186" s="54"/>
      <c r="H186" s="54"/>
      <c r="I186" s="54" t="s">
        <v>130</v>
      </c>
      <c r="J186" s="54"/>
      <c r="K186" s="54"/>
      <c r="L186" s="54"/>
      <c r="M186" s="54"/>
      <c r="N186" s="56"/>
    </row>
    <row r="187" spans="1:14">
      <c r="A187" s="195"/>
      <c r="B187" s="186" t="s">
        <v>163</v>
      </c>
      <c r="C187" s="188" t="s">
        <v>91</v>
      </c>
      <c r="D187" s="189"/>
      <c r="E187" s="54" t="s">
        <v>397</v>
      </c>
      <c r="F187" s="55">
        <v>1</v>
      </c>
      <c r="G187" s="54"/>
      <c r="H187" s="54"/>
      <c r="I187" s="57" t="s">
        <v>678</v>
      </c>
      <c r="J187" s="54"/>
      <c r="K187" s="54" t="s">
        <v>130</v>
      </c>
      <c r="L187" s="54"/>
      <c r="M187" s="54"/>
      <c r="N187" s="56" t="s">
        <v>158</v>
      </c>
    </row>
    <row r="188" spans="1:14">
      <c r="A188" s="195"/>
      <c r="B188" s="187"/>
      <c r="C188" s="190"/>
      <c r="D188" s="191"/>
      <c r="E188" s="54" t="s">
        <v>398</v>
      </c>
      <c r="F188" s="55">
        <v>2</v>
      </c>
      <c r="G188" s="54"/>
      <c r="H188" s="54"/>
      <c r="I188" s="54" t="s">
        <v>679</v>
      </c>
      <c r="J188" s="54"/>
      <c r="K188" s="54" t="s">
        <v>130</v>
      </c>
      <c r="L188" s="54"/>
      <c r="M188" s="54"/>
      <c r="N188" s="56" t="s">
        <v>159</v>
      </c>
    </row>
    <row r="189" spans="1:14">
      <c r="A189" s="195"/>
      <c r="B189" s="187"/>
      <c r="C189" s="190"/>
      <c r="D189" s="191"/>
      <c r="E189" s="54" t="s">
        <v>399</v>
      </c>
      <c r="F189" s="55">
        <v>3</v>
      </c>
      <c r="G189" s="54"/>
      <c r="H189" s="54"/>
      <c r="I189" s="54" t="s">
        <v>675</v>
      </c>
      <c r="J189" s="54"/>
      <c r="K189" s="54" t="s">
        <v>130</v>
      </c>
      <c r="L189" s="54"/>
      <c r="M189" s="54"/>
      <c r="N189" s="56" t="s">
        <v>132</v>
      </c>
    </row>
    <row r="190" spans="1:14">
      <c r="A190" s="195"/>
      <c r="B190" s="187"/>
      <c r="C190" s="190"/>
      <c r="D190" s="191"/>
      <c r="E190" s="54" t="s">
        <v>400</v>
      </c>
      <c r="F190" s="55">
        <v>4</v>
      </c>
      <c r="G190" s="54"/>
      <c r="H190" s="54"/>
      <c r="I190" s="54" t="s">
        <v>680</v>
      </c>
      <c r="J190" s="54"/>
      <c r="K190" s="54" t="s">
        <v>130</v>
      </c>
      <c r="L190" s="54"/>
      <c r="M190" s="54"/>
      <c r="N190" s="56" t="s">
        <v>159</v>
      </c>
    </row>
    <row r="191" spans="1:14">
      <c r="A191" s="195"/>
      <c r="B191" s="187"/>
      <c r="C191" s="190"/>
      <c r="D191" s="191"/>
      <c r="E191" s="54" t="s">
        <v>401</v>
      </c>
      <c r="F191" s="55">
        <v>5</v>
      </c>
      <c r="G191" s="54"/>
      <c r="H191" s="54"/>
      <c r="I191" s="54" t="s">
        <v>674</v>
      </c>
      <c r="J191" s="54"/>
      <c r="K191" s="54"/>
      <c r="L191" s="54"/>
      <c r="M191" s="54"/>
      <c r="N191" s="56"/>
    </row>
    <row r="192" spans="1:14">
      <c r="A192" s="195"/>
      <c r="B192" s="187"/>
      <c r="C192" s="190"/>
      <c r="D192" s="191"/>
      <c r="E192" s="54" t="s">
        <v>402</v>
      </c>
      <c r="F192" s="55">
        <v>6</v>
      </c>
      <c r="G192" s="54"/>
      <c r="H192" s="54"/>
      <c r="I192" s="54" t="s">
        <v>674</v>
      </c>
      <c r="J192" s="54"/>
      <c r="K192" s="54" t="s">
        <v>130</v>
      </c>
      <c r="L192" s="54"/>
      <c r="M192" s="54"/>
      <c r="N192" s="56" t="s">
        <v>160</v>
      </c>
    </row>
    <row r="193" spans="1:14">
      <c r="A193" s="195"/>
      <c r="B193" s="187"/>
      <c r="C193" s="190"/>
      <c r="D193" s="191"/>
      <c r="E193" s="54" t="s">
        <v>403</v>
      </c>
      <c r="F193" s="55">
        <v>7</v>
      </c>
      <c r="G193" s="54"/>
      <c r="H193" s="54"/>
      <c r="I193" s="54" t="s">
        <v>675</v>
      </c>
      <c r="J193" s="54"/>
      <c r="K193" s="54" t="s">
        <v>130</v>
      </c>
      <c r="L193" s="54"/>
      <c r="M193" s="54"/>
      <c r="N193" s="56" t="s">
        <v>171</v>
      </c>
    </row>
    <row r="194" spans="1:14">
      <c r="A194" s="195"/>
      <c r="B194" s="187"/>
      <c r="C194" s="190"/>
      <c r="D194" s="191"/>
      <c r="E194" s="54" t="s">
        <v>404</v>
      </c>
      <c r="F194" s="55">
        <v>8</v>
      </c>
      <c r="G194" s="54"/>
      <c r="H194" s="54"/>
      <c r="I194" s="54" t="s">
        <v>674</v>
      </c>
      <c r="J194" s="54"/>
      <c r="K194" s="54"/>
      <c r="L194" s="54"/>
      <c r="M194" s="54"/>
      <c r="N194" s="56" t="s">
        <v>172</v>
      </c>
    </row>
    <row r="195" spans="1:14">
      <c r="A195" s="195"/>
      <c r="B195" s="187"/>
      <c r="C195" s="190"/>
      <c r="D195" s="191"/>
      <c r="E195" s="54" t="s">
        <v>405</v>
      </c>
      <c r="F195" s="55">
        <v>9</v>
      </c>
      <c r="G195" s="54"/>
      <c r="H195" s="54"/>
      <c r="I195" s="54" t="s">
        <v>674</v>
      </c>
      <c r="J195" s="54"/>
      <c r="K195" s="54" t="s">
        <v>130</v>
      </c>
      <c r="L195" s="54"/>
      <c r="M195" s="54"/>
      <c r="N195" s="56"/>
    </row>
    <row r="196" spans="1:14">
      <c r="A196" s="195"/>
      <c r="B196" s="187"/>
      <c r="C196" s="190"/>
      <c r="D196" s="191"/>
      <c r="E196" s="54" t="s">
        <v>406</v>
      </c>
      <c r="F196" s="55">
        <v>10</v>
      </c>
      <c r="G196" s="54"/>
      <c r="H196" s="54"/>
      <c r="I196" s="54" t="s">
        <v>674</v>
      </c>
      <c r="J196" s="54"/>
      <c r="K196" s="54"/>
      <c r="L196" s="54"/>
      <c r="M196" s="54"/>
      <c r="N196" s="56" t="s">
        <v>173</v>
      </c>
    </row>
    <row r="197" spans="1:14">
      <c r="A197" s="195"/>
      <c r="B197" s="187"/>
      <c r="C197" s="190"/>
      <c r="D197" s="191"/>
      <c r="E197" s="54" t="s">
        <v>407</v>
      </c>
      <c r="F197" s="55">
        <v>11</v>
      </c>
      <c r="G197" s="54"/>
      <c r="H197" s="54"/>
      <c r="I197" s="54" t="s">
        <v>674</v>
      </c>
      <c r="J197" s="54"/>
      <c r="K197" s="54" t="s">
        <v>130</v>
      </c>
      <c r="L197" s="54"/>
      <c r="M197" s="54"/>
      <c r="N197" s="56" t="s">
        <v>175</v>
      </c>
    </row>
    <row r="198" spans="1:14">
      <c r="A198" s="195"/>
      <c r="B198" s="187"/>
      <c r="C198" s="190"/>
      <c r="D198" s="191"/>
      <c r="E198" s="54" t="s">
        <v>408</v>
      </c>
      <c r="F198" s="55" t="s">
        <v>174</v>
      </c>
      <c r="G198" s="54"/>
      <c r="H198" s="54"/>
      <c r="I198" s="54" t="s">
        <v>130</v>
      </c>
      <c r="J198" s="54"/>
      <c r="K198" s="54"/>
      <c r="L198" s="54"/>
      <c r="M198" s="54"/>
      <c r="N198" s="56" t="s">
        <v>176</v>
      </c>
    </row>
    <row r="199" spans="1:14">
      <c r="A199" s="195"/>
      <c r="B199" s="187"/>
      <c r="C199" s="190"/>
      <c r="D199" s="191"/>
      <c r="E199" s="54" t="s">
        <v>409</v>
      </c>
      <c r="F199" s="55">
        <v>12</v>
      </c>
      <c r="G199" s="54"/>
      <c r="H199" s="54"/>
      <c r="I199" s="54" t="s">
        <v>674</v>
      </c>
      <c r="J199" s="54"/>
      <c r="K199" s="54" t="s">
        <v>130</v>
      </c>
      <c r="L199" s="54"/>
      <c r="M199" s="54"/>
      <c r="N199" s="56" t="s">
        <v>171</v>
      </c>
    </row>
    <row r="200" spans="1:14">
      <c r="A200" s="195"/>
      <c r="B200" s="187"/>
      <c r="C200" s="190"/>
      <c r="D200" s="191"/>
      <c r="E200" s="54" t="s">
        <v>410</v>
      </c>
      <c r="F200" s="55">
        <v>13</v>
      </c>
      <c r="G200" s="54"/>
      <c r="H200" s="54"/>
      <c r="I200" s="54" t="s">
        <v>675</v>
      </c>
      <c r="J200" s="54"/>
      <c r="K200" s="54" t="s">
        <v>130</v>
      </c>
      <c r="L200" s="54"/>
      <c r="M200" s="54"/>
      <c r="N200" s="56" t="s">
        <v>171</v>
      </c>
    </row>
    <row r="201" spans="1:14" ht="24">
      <c r="A201" s="195"/>
      <c r="B201" s="187"/>
      <c r="C201" s="190"/>
      <c r="D201" s="191"/>
      <c r="E201" s="54" t="s">
        <v>411</v>
      </c>
      <c r="F201" s="55">
        <v>14</v>
      </c>
      <c r="G201" s="54"/>
      <c r="H201" s="54"/>
      <c r="I201" s="54" t="s">
        <v>674</v>
      </c>
      <c r="J201" s="54"/>
      <c r="K201" s="54"/>
      <c r="L201" s="54"/>
      <c r="M201" s="54"/>
      <c r="N201" s="58" t="s">
        <v>179</v>
      </c>
    </row>
    <row r="202" spans="1:14">
      <c r="A202" s="195"/>
      <c r="B202" s="187"/>
      <c r="C202" s="190"/>
      <c r="D202" s="191"/>
      <c r="E202" s="54" t="s">
        <v>412</v>
      </c>
      <c r="F202" s="55" t="s">
        <v>177</v>
      </c>
      <c r="G202" s="54"/>
      <c r="H202" s="54"/>
      <c r="I202" s="54" t="s">
        <v>674</v>
      </c>
      <c r="J202" s="54"/>
      <c r="K202" s="54"/>
      <c r="L202" s="54"/>
      <c r="M202" s="54"/>
      <c r="N202" s="56" t="s">
        <v>178</v>
      </c>
    </row>
    <row r="203" spans="1:14">
      <c r="A203" s="195"/>
      <c r="B203" s="187"/>
      <c r="C203" s="190"/>
      <c r="D203" s="191"/>
      <c r="E203" s="54" t="s">
        <v>413</v>
      </c>
      <c r="F203" s="55">
        <v>15</v>
      </c>
      <c r="G203" s="54"/>
      <c r="H203" s="54"/>
      <c r="I203" s="54" t="s">
        <v>681</v>
      </c>
      <c r="J203" s="54"/>
      <c r="K203" s="54" t="s">
        <v>130</v>
      </c>
      <c r="L203" s="54"/>
      <c r="M203" s="54"/>
      <c r="N203" s="212" t="s">
        <v>183</v>
      </c>
    </row>
    <row r="204" spans="1:14">
      <c r="A204" s="195"/>
      <c r="B204" s="187"/>
      <c r="C204" s="190"/>
      <c r="D204" s="191"/>
      <c r="E204" s="54" t="s">
        <v>414</v>
      </c>
      <c r="F204" s="55" t="s">
        <v>181</v>
      </c>
      <c r="G204" s="54"/>
      <c r="H204" s="54"/>
      <c r="I204" s="54" t="s">
        <v>681</v>
      </c>
      <c r="J204" s="54"/>
      <c r="K204" s="54" t="s">
        <v>130</v>
      </c>
      <c r="L204" s="54"/>
      <c r="M204" s="54"/>
      <c r="N204" s="213"/>
    </row>
    <row r="205" spans="1:14">
      <c r="A205" s="195"/>
      <c r="B205" s="187"/>
      <c r="C205" s="190"/>
      <c r="D205" s="191"/>
      <c r="E205" s="54" t="s">
        <v>415</v>
      </c>
      <c r="F205" s="55" t="s">
        <v>182</v>
      </c>
      <c r="G205" s="54"/>
      <c r="H205" s="54"/>
      <c r="I205" s="54" t="s">
        <v>674</v>
      </c>
      <c r="J205" s="54"/>
      <c r="K205" s="54" t="s">
        <v>130</v>
      </c>
      <c r="L205" s="54"/>
      <c r="M205" s="54"/>
      <c r="N205" s="214"/>
    </row>
    <row r="206" spans="1:14">
      <c r="A206" s="195"/>
      <c r="B206" s="187"/>
      <c r="C206" s="190"/>
      <c r="D206" s="191"/>
      <c r="E206" s="54" t="s">
        <v>416</v>
      </c>
      <c r="F206" s="55">
        <v>16</v>
      </c>
      <c r="G206" s="54"/>
      <c r="H206" s="54"/>
      <c r="I206" s="54" t="s">
        <v>675</v>
      </c>
      <c r="J206" s="54"/>
      <c r="K206" s="54" t="s">
        <v>130</v>
      </c>
      <c r="L206" s="54"/>
      <c r="M206" s="54"/>
      <c r="N206" s="56" t="s">
        <v>171</v>
      </c>
    </row>
    <row r="207" spans="1:14">
      <c r="A207" s="195"/>
      <c r="B207" s="187"/>
      <c r="C207" s="190"/>
      <c r="D207" s="191"/>
      <c r="E207" s="54" t="s">
        <v>417</v>
      </c>
      <c r="F207" s="55">
        <v>17</v>
      </c>
      <c r="G207" s="54"/>
      <c r="H207" s="54"/>
      <c r="I207" s="54" t="s">
        <v>680</v>
      </c>
      <c r="J207" s="54"/>
      <c r="K207" s="54" t="s">
        <v>130</v>
      </c>
      <c r="L207" s="54"/>
      <c r="M207" s="54"/>
      <c r="N207" s="56" t="s">
        <v>184</v>
      </c>
    </row>
    <row r="208" spans="1:14">
      <c r="A208" s="195"/>
      <c r="B208" s="187"/>
      <c r="C208" s="190"/>
      <c r="D208" s="191"/>
      <c r="E208" s="54" t="s">
        <v>418</v>
      </c>
      <c r="F208" s="55">
        <v>18</v>
      </c>
      <c r="G208" s="54"/>
      <c r="H208" s="54"/>
      <c r="I208" s="54" t="s">
        <v>681</v>
      </c>
      <c r="J208" s="54"/>
      <c r="K208" s="54"/>
      <c r="L208" s="54"/>
      <c r="M208" s="54"/>
      <c r="N208" s="56" t="s">
        <v>186</v>
      </c>
    </row>
    <row r="209" spans="1:14">
      <c r="A209" s="195"/>
      <c r="B209" s="187"/>
      <c r="C209" s="190"/>
      <c r="D209" s="191"/>
      <c r="E209" s="54" t="s">
        <v>419</v>
      </c>
      <c r="F209" s="55" t="s">
        <v>185</v>
      </c>
      <c r="G209" s="54"/>
      <c r="H209" s="54"/>
      <c r="I209" s="54" t="s">
        <v>675</v>
      </c>
      <c r="J209" s="54"/>
      <c r="K209" s="54"/>
      <c r="L209" s="54"/>
      <c r="M209" s="54"/>
      <c r="N209" s="56"/>
    </row>
    <row r="210" spans="1:14">
      <c r="A210" s="195"/>
      <c r="B210" s="187"/>
      <c r="C210" s="190"/>
      <c r="D210" s="191"/>
      <c r="E210" s="54" t="s">
        <v>420</v>
      </c>
      <c r="F210" s="55">
        <v>19</v>
      </c>
      <c r="G210" s="54"/>
      <c r="H210" s="54"/>
      <c r="I210" s="54" t="s">
        <v>674</v>
      </c>
      <c r="J210" s="54"/>
      <c r="K210" s="54" t="s">
        <v>130</v>
      </c>
      <c r="L210" s="54"/>
      <c r="M210" s="54"/>
      <c r="N210" s="56" t="s">
        <v>187</v>
      </c>
    </row>
    <row r="211" spans="1:14">
      <c r="A211" s="195"/>
      <c r="B211" s="187"/>
      <c r="C211" s="190"/>
      <c r="D211" s="191"/>
      <c r="E211" s="54" t="s">
        <v>421</v>
      </c>
      <c r="F211" s="55">
        <v>20</v>
      </c>
      <c r="G211" s="54"/>
      <c r="H211" s="54"/>
      <c r="I211" s="54" t="s">
        <v>682</v>
      </c>
      <c r="J211" s="54"/>
      <c r="K211" s="54" t="s">
        <v>130</v>
      </c>
      <c r="L211" s="54"/>
      <c r="M211" s="54"/>
      <c r="N211" s="56" t="s">
        <v>171</v>
      </c>
    </row>
    <row r="212" spans="1:14">
      <c r="A212" s="195"/>
      <c r="B212" s="187"/>
      <c r="C212" s="190"/>
      <c r="D212" s="191"/>
      <c r="E212" s="54" t="s">
        <v>422</v>
      </c>
      <c r="F212" s="55">
        <v>21</v>
      </c>
      <c r="G212" s="54"/>
      <c r="H212" s="54"/>
      <c r="I212" s="54" t="s">
        <v>675</v>
      </c>
      <c r="J212" s="54"/>
      <c r="K212" s="54" t="s">
        <v>130</v>
      </c>
      <c r="L212" s="54"/>
      <c r="M212" s="54"/>
      <c r="N212" s="56" t="s">
        <v>288</v>
      </c>
    </row>
    <row r="213" spans="1:14">
      <c r="A213" s="195"/>
      <c r="B213" s="187"/>
      <c r="C213" s="190"/>
      <c r="D213" s="191"/>
      <c r="E213" s="54" t="s">
        <v>423</v>
      </c>
      <c r="F213" s="55" t="s">
        <v>188</v>
      </c>
      <c r="G213" s="54"/>
      <c r="H213" s="54"/>
      <c r="I213" s="54" t="s">
        <v>130</v>
      </c>
      <c r="J213" s="54"/>
      <c r="K213" s="54" t="s">
        <v>130</v>
      </c>
      <c r="L213" s="54"/>
      <c r="M213" s="54"/>
      <c r="N213" s="56" t="s">
        <v>189</v>
      </c>
    </row>
    <row r="214" spans="1:14">
      <c r="A214" s="195"/>
      <c r="B214" s="187"/>
      <c r="C214" s="190"/>
      <c r="D214" s="191"/>
      <c r="E214" s="54" t="s">
        <v>424</v>
      </c>
      <c r="F214" s="55">
        <v>22</v>
      </c>
      <c r="G214" s="54"/>
      <c r="H214" s="54"/>
      <c r="I214" s="54" t="s">
        <v>680</v>
      </c>
      <c r="J214" s="54"/>
      <c r="K214" s="54" t="s">
        <v>130</v>
      </c>
      <c r="L214" s="54"/>
      <c r="M214" s="54"/>
      <c r="N214" s="56" t="s">
        <v>190</v>
      </c>
    </row>
    <row r="215" spans="1:14">
      <c r="A215" s="195"/>
      <c r="B215" s="187"/>
      <c r="C215" s="190"/>
      <c r="D215" s="191"/>
      <c r="E215" s="54" t="s">
        <v>425</v>
      </c>
      <c r="F215" s="55">
        <v>23</v>
      </c>
      <c r="G215" s="54"/>
      <c r="H215" s="54"/>
      <c r="I215" s="54" t="s">
        <v>675</v>
      </c>
      <c r="J215" s="54"/>
      <c r="K215" s="54" t="s">
        <v>130</v>
      </c>
      <c r="L215" s="54"/>
      <c r="M215" s="54"/>
      <c r="N215" s="56"/>
    </row>
    <row r="216" spans="1:14">
      <c r="A216" s="195"/>
      <c r="B216" s="187"/>
      <c r="C216" s="190"/>
      <c r="D216" s="191"/>
      <c r="E216" s="54" t="s">
        <v>426</v>
      </c>
      <c r="F216" s="55" t="s">
        <v>191</v>
      </c>
      <c r="G216" s="54"/>
      <c r="H216" s="54"/>
      <c r="I216" s="54" t="s">
        <v>130</v>
      </c>
      <c r="J216" s="54"/>
      <c r="K216" s="59" t="s">
        <v>193</v>
      </c>
      <c r="L216" s="54"/>
      <c r="M216" s="54"/>
      <c r="N216" s="56" t="s">
        <v>192</v>
      </c>
    </row>
    <row r="217" spans="1:14">
      <c r="A217" s="195"/>
      <c r="B217" s="187"/>
      <c r="C217" s="190"/>
      <c r="D217" s="191"/>
      <c r="E217" s="54" t="s">
        <v>427</v>
      </c>
      <c r="F217" s="55">
        <v>24</v>
      </c>
      <c r="G217" s="54"/>
      <c r="H217" s="54"/>
      <c r="I217" s="54" t="s">
        <v>130</v>
      </c>
      <c r="J217" s="54"/>
      <c r="K217" s="54" t="s">
        <v>130</v>
      </c>
      <c r="L217" s="54"/>
      <c r="M217" s="54"/>
      <c r="N217" s="56"/>
    </row>
    <row r="218" spans="1:14">
      <c r="A218" s="195"/>
      <c r="B218" s="187"/>
      <c r="C218" s="190"/>
      <c r="D218" s="191"/>
      <c r="E218" s="54" t="s">
        <v>428</v>
      </c>
      <c r="F218" s="55">
        <v>25</v>
      </c>
      <c r="G218" s="54"/>
      <c r="H218" s="54"/>
      <c r="I218" s="54" t="s">
        <v>130</v>
      </c>
      <c r="J218" s="54"/>
      <c r="K218" s="54" t="s">
        <v>130</v>
      </c>
      <c r="L218" s="54"/>
      <c r="M218" s="54"/>
      <c r="N218" s="56" t="s">
        <v>195</v>
      </c>
    </row>
    <row r="219" spans="1:14">
      <c r="A219" s="195"/>
      <c r="B219" s="187"/>
      <c r="C219" s="188" t="s">
        <v>86</v>
      </c>
      <c r="D219" s="189"/>
      <c r="E219" s="54" t="s">
        <v>429</v>
      </c>
      <c r="F219" s="55">
        <v>1</v>
      </c>
      <c r="G219" s="54"/>
      <c r="H219" s="54"/>
      <c r="I219" s="54" t="s">
        <v>674</v>
      </c>
      <c r="J219" s="54"/>
      <c r="K219" s="54" t="s">
        <v>194</v>
      </c>
      <c r="L219" s="54"/>
      <c r="M219" s="54"/>
      <c r="N219" s="56"/>
    </row>
    <row r="220" spans="1:14">
      <c r="A220" s="195"/>
      <c r="B220" s="187"/>
      <c r="C220" s="190"/>
      <c r="D220" s="191"/>
      <c r="E220" s="54" t="s">
        <v>430</v>
      </c>
      <c r="F220" s="55">
        <v>2</v>
      </c>
      <c r="G220" s="54"/>
      <c r="H220" s="54"/>
      <c r="I220" s="54" t="s">
        <v>130</v>
      </c>
      <c r="J220" s="54"/>
      <c r="K220" s="54" t="s">
        <v>194</v>
      </c>
      <c r="L220" s="54"/>
      <c r="M220" s="54"/>
      <c r="N220" s="56" t="s">
        <v>287</v>
      </c>
    </row>
    <row r="221" spans="1:14">
      <c r="A221" s="195"/>
      <c r="B221" s="187"/>
      <c r="C221" s="190"/>
      <c r="D221" s="191"/>
      <c r="E221" s="54" t="s">
        <v>431</v>
      </c>
      <c r="F221" s="55">
        <v>3</v>
      </c>
      <c r="G221" s="54"/>
      <c r="H221" s="54"/>
      <c r="I221" s="54"/>
      <c r="J221" s="54"/>
      <c r="K221" s="54"/>
      <c r="L221" s="54"/>
      <c r="M221" s="54"/>
      <c r="N221" s="56"/>
    </row>
    <row r="222" spans="1:14">
      <c r="A222" s="195"/>
      <c r="B222" s="187"/>
      <c r="C222" s="190"/>
      <c r="D222" s="191"/>
      <c r="E222" s="54" t="s">
        <v>432</v>
      </c>
      <c r="F222" s="55">
        <v>4</v>
      </c>
      <c r="G222" s="54"/>
      <c r="H222" s="54"/>
      <c r="I222" s="54"/>
      <c r="J222" s="54"/>
      <c r="K222" s="54"/>
      <c r="L222" s="54"/>
      <c r="M222" s="54"/>
      <c r="N222" s="56"/>
    </row>
    <row r="223" spans="1:14">
      <c r="A223" s="195"/>
      <c r="B223" s="187"/>
      <c r="C223" s="190"/>
      <c r="D223" s="191"/>
      <c r="E223" s="54" t="s">
        <v>433</v>
      </c>
      <c r="F223" s="55">
        <v>5</v>
      </c>
      <c r="G223" s="54"/>
      <c r="H223" s="54"/>
      <c r="I223" s="54" t="s">
        <v>674</v>
      </c>
      <c r="J223" s="54"/>
      <c r="K223" s="54"/>
      <c r="L223" s="54"/>
      <c r="M223" s="54"/>
      <c r="N223" s="56"/>
    </row>
    <row r="224" spans="1:14">
      <c r="A224" s="195"/>
      <c r="B224" s="187"/>
      <c r="C224" s="190"/>
      <c r="D224" s="191"/>
      <c r="E224" s="54" t="s">
        <v>434</v>
      </c>
      <c r="F224" s="55">
        <v>6</v>
      </c>
      <c r="G224" s="54"/>
      <c r="H224" s="54"/>
      <c r="I224" s="54" t="s">
        <v>674</v>
      </c>
      <c r="J224" s="54"/>
      <c r="K224" s="54" t="s">
        <v>194</v>
      </c>
      <c r="L224" s="54"/>
      <c r="M224" s="54"/>
      <c r="N224" s="56"/>
    </row>
    <row r="225" spans="1:14">
      <c r="A225" s="195"/>
      <c r="B225" s="187"/>
      <c r="C225" s="190"/>
      <c r="D225" s="191"/>
      <c r="E225" s="54" t="s">
        <v>435</v>
      </c>
      <c r="F225" s="55">
        <v>7</v>
      </c>
      <c r="G225" s="54"/>
      <c r="H225" s="54"/>
      <c r="I225" s="54" t="s">
        <v>674</v>
      </c>
      <c r="J225" s="54"/>
      <c r="K225" s="54" t="s">
        <v>130</v>
      </c>
      <c r="L225" s="54"/>
      <c r="M225" s="54"/>
      <c r="N225" s="56"/>
    </row>
    <row r="226" spans="1:14">
      <c r="A226" s="195"/>
      <c r="B226" s="187"/>
      <c r="C226" s="190"/>
      <c r="D226" s="191"/>
      <c r="E226" s="54" t="s">
        <v>436</v>
      </c>
      <c r="F226" s="55">
        <v>8</v>
      </c>
      <c r="G226" s="54"/>
      <c r="H226" s="54"/>
      <c r="I226" s="54" t="s">
        <v>674</v>
      </c>
      <c r="J226" s="54"/>
      <c r="K226" s="54" t="s">
        <v>130</v>
      </c>
      <c r="L226" s="54"/>
      <c r="M226" s="54"/>
      <c r="N226" s="56"/>
    </row>
    <row r="227" spans="1:14">
      <c r="A227" s="195"/>
      <c r="B227" s="187"/>
      <c r="C227" s="190"/>
      <c r="D227" s="191"/>
      <c r="E227" s="54" t="s">
        <v>437</v>
      </c>
      <c r="F227" s="55">
        <v>9</v>
      </c>
      <c r="G227" s="54"/>
      <c r="H227" s="54"/>
      <c r="I227" s="54" t="s">
        <v>674</v>
      </c>
      <c r="J227" s="54"/>
      <c r="K227" s="54" t="s">
        <v>130</v>
      </c>
      <c r="L227" s="54"/>
      <c r="M227" s="54"/>
      <c r="N227" s="56"/>
    </row>
    <row r="228" spans="1:14">
      <c r="A228" s="195"/>
      <c r="B228" s="187"/>
      <c r="C228" s="190"/>
      <c r="D228" s="191"/>
      <c r="E228" s="54" t="s">
        <v>438</v>
      </c>
      <c r="F228" s="55">
        <v>10</v>
      </c>
      <c r="G228" s="54"/>
      <c r="H228" s="54"/>
      <c r="I228" s="54" t="s">
        <v>674</v>
      </c>
      <c r="J228" s="54"/>
      <c r="K228" s="54" t="s">
        <v>130</v>
      </c>
      <c r="L228" s="54"/>
      <c r="M228" s="54"/>
      <c r="N228" s="56"/>
    </row>
    <row r="229" spans="1:14">
      <c r="A229" s="195"/>
      <c r="B229" s="187"/>
      <c r="C229" s="190"/>
      <c r="D229" s="191"/>
      <c r="E229" s="54" t="s">
        <v>439</v>
      </c>
      <c r="F229" s="55">
        <v>11</v>
      </c>
      <c r="G229" s="54"/>
      <c r="H229" s="54"/>
      <c r="I229" s="54" t="s">
        <v>674</v>
      </c>
      <c r="J229" s="54"/>
      <c r="K229" s="54" t="s">
        <v>130</v>
      </c>
      <c r="L229" s="54"/>
      <c r="M229" s="54"/>
      <c r="N229" s="56"/>
    </row>
    <row r="230" spans="1:14">
      <c r="A230" s="195"/>
      <c r="B230" s="187"/>
      <c r="C230" s="190"/>
      <c r="D230" s="191"/>
      <c r="E230" s="54" t="s">
        <v>440</v>
      </c>
      <c r="F230" s="55">
        <v>12</v>
      </c>
      <c r="G230" s="54"/>
      <c r="H230" s="54"/>
      <c r="I230" s="54" t="s">
        <v>674</v>
      </c>
      <c r="J230" s="54"/>
      <c r="K230" s="54" t="s">
        <v>130</v>
      </c>
      <c r="L230" s="54"/>
      <c r="M230" s="54"/>
      <c r="N230" s="56"/>
    </row>
    <row r="231" spans="1:14">
      <c r="A231" s="195"/>
      <c r="B231" s="187"/>
      <c r="C231" s="190"/>
      <c r="D231" s="191"/>
      <c r="E231" s="54" t="s">
        <v>441</v>
      </c>
      <c r="F231" s="55">
        <v>13</v>
      </c>
      <c r="G231" s="54"/>
      <c r="H231" s="54"/>
      <c r="I231" s="54" t="s">
        <v>674</v>
      </c>
      <c r="J231" s="54"/>
      <c r="K231" s="54" t="s">
        <v>130</v>
      </c>
      <c r="L231" s="54"/>
      <c r="M231" s="54"/>
      <c r="N231" s="56" t="s">
        <v>180</v>
      </c>
    </row>
    <row r="232" spans="1:14">
      <c r="A232" s="195"/>
      <c r="B232" s="187"/>
      <c r="C232" s="190"/>
      <c r="D232" s="191"/>
      <c r="E232" s="54" t="s">
        <v>442</v>
      </c>
      <c r="F232" s="55">
        <v>14</v>
      </c>
      <c r="G232" s="54"/>
      <c r="H232" s="54"/>
      <c r="I232" s="54"/>
      <c r="J232" s="54"/>
      <c r="K232" s="54"/>
      <c r="L232" s="54"/>
      <c r="M232" s="54"/>
      <c r="N232" s="56"/>
    </row>
    <row r="233" spans="1:14">
      <c r="A233" s="195"/>
      <c r="B233" s="187"/>
      <c r="C233" s="190"/>
      <c r="D233" s="191"/>
      <c r="E233" s="54" t="s">
        <v>443</v>
      </c>
      <c r="F233" s="55">
        <v>15</v>
      </c>
      <c r="G233" s="54"/>
      <c r="H233" s="54"/>
      <c r="I233" s="54" t="s">
        <v>674</v>
      </c>
      <c r="J233" s="54"/>
      <c r="K233" s="54"/>
      <c r="L233" s="54"/>
      <c r="M233" s="54"/>
      <c r="N233" s="56"/>
    </row>
    <row r="234" spans="1:14">
      <c r="A234" s="195"/>
      <c r="B234" s="187"/>
      <c r="C234" s="190"/>
      <c r="D234" s="191"/>
      <c r="E234" s="54" t="s">
        <v>444</v>
      </c>
      <c r="F234" s="55">
        <v>16</v>
      </c>
      <c r="G234" s="54"/>
      <c r="H234" s="54"/>
      <c r="I234" s="54" t="s">
        <v>674</v>
      </c>
      <c r="J234" s="54"/>
      <c r="K234" s="54" t="s">
        <v>130</v>
      </c>
      <c r="L234" s="54"/>
      <c r="M234" s="54"/>
      <c r="N234" s="56"/>
    </row>
    <row r="235" spans="1:14">
      <c r="A235" s="195"/>
      <c r="B235" s="187"/>
      <c r="C235" s="190"/>
      <c r="D235" s="191"/>
      <c r="E235" s="54" t="s">
        <v>445</v>
      </c>
      <c r="F235" s="55">
        <v>17</v>
      </c>
      <c r="G235" s="54"/>
      <c r="H235" s="54"/>
      <c r="I235" s="54" t="s">
        <v>674</v>
      </c>
      <c r="J235" s="54"/>
      <c r="K235" s="54"/>
      <c r="L235" s="54"/>
      <c r="M235" s="54"/>
      <c r="N235" s="56"/>
    </row>
    <row r="236" spans="1:14">
      <c r="A236" s="195"/>
      <c r="B236" s="187"/>
      <c r="C236" s="190"/>
      <c r="D236" s="191"/>
      <c r="E236" s="54" t="s">
        <v>446</v>
      </c>
      <c r="F236" s="55">
        <v>18</v>
      </c>
      <c r="G236" s="54"/>
      <c r="H236" s="54"/>
      <c r="I236" s="54"/>
      <c r="J236" s="54"/>
      <c r="K236" s="54"/>
      <c r="L236" s="54"/>
      <c r="M236" s="54"/>
      <c r="N236" s="56"/>
    </row>
    <row r="237" spans="1:14">
      <c r="A237" s="195"/>
      <c r="B237" s="187"/>
      <c r="C237" s="190"/>
      <c r="D237" s="191"/>
      <c r="E237" s="54" t="s">
        <v>447</v>
      </c>
      <c r="F237" s="55">
        <v>19</v>
      </c>
      <c r="G237" s="54"/>
      <c r="H237" s="54"/>
      <c r="I237" s="54" t="s">
        <v>683</v>
      </c>
      <c r="J237" s="54"/>
      <c r="K237" s="54"/>
      <c r="L237" s="54"/>
      <c r="M237" s="54"/>
      <c r="N237" s="56"/>
    </row>
    <row r="238" spans="1:14">
      <c r="A238" s="195"/>
      <c r="B238" s="187"/>
      <c r="C238" s="190"/>
      <c r="D238" s="191"/>
      <c r="E238" s="54" t="s">
        <v>448</v>
      </c>
      <c r="F238" s="55">
        <v>20</v>
      </c>
      <c r="G238" s="54"/>
      <c r="H238" s="54"/>
      <c r="I238" s="54" t="s">
        <v>674</v>
      </c>
      <c r="J238" s="54"/>
      <c r="K238" s="54"/>
      <c r="L238" s="54"/>
      <c r="M238" s="54"/>
      <c r="N238" s="56"/>
    </row>
    <row r="239" spans="1:14">
      <c r="A239" s="195"/>
      <c r="B239" s="187"/>
      <c r="C239" s="190"/>
      <c r="D239" s="191"/>
      <c r="E239" s="54" t="s">
        <v>449</v>
      </c>
      <c r="F239" s="55">
        <v>21</v>
      </c>
      <c r="G239" s="54"/>
      <c r="H239" s="54"/>
      <c r="I239" s="54"/>
      <c r="J239" s="54"/>
      <c r="K239" s="54"/>
      <c r="L239" s="54"/>
      <c r="M239" s="54"/>
      <c r="N239" s="56"/>
    </row>
    <row r="240" spans="1:14">
      <c r="A240" s="184">
        <v>5</v>
      </c>
      <c r="B240" s="184" t="s">
        <v>93</v>
      </c>
      <c r="C240" s="198" t="s">
        <v>86</v>
      </c>
      <c r="D240" s="199"/>
      <c r="E240" s="20" t="s">
        <v>450</v>
      </c>
      <c r="F240" s="14">
        <v>1</v>
      </c>
      <c r="G240" s="20"/>
      <c r="H240" s="20"/>
      <c r="I240" s="20" t="s">
        <v>130</v>
      </c>
      <c r="J240" s="20"/>
      <c r="K240" s="20"/>
      <c r="L240" s="20"/>
      <c r="M240" s="20"/>
      <c r="N240" s="15"/>
    </row>
    <row r="241" spans="1:14">
      <c r="A241" s="197"/>
      <c r="B241" s="197"/>
      <c r="C241" s="200"/>
      <c r="D241" s="201"/>
      <c r="E241" s="20" t="s">
        <v>451</v>
      </c>
      <c r="F241" s="14">
        <v>2</v>
      </c>
      <c r="G241" s="20"/>
      <c r="H241" s="20"/>
      <c r="I241" s="20" t="s">
        <v>130</v>
      </c>
      <c r="J241" s="20"/>
      <c r="K241" s="20"/>
      <c r="L241" s="20"/>
      <c r="M241" s="20"/>
      <c r="N241" s="15"/>
    </row>
    <row r="242" spans="1:14">
      <c r="A242" s="197"/>
      <c r="B242" s="197"/>
      <c r="C242" s="200"/>
      <c r="D242" s="201"/>
      <c r="E242" s="20" t="s">
        <v>452</v>
      </c>
      <c r="F242" s="14">
        <v>3</v>
      </c>
      <c r="G242" s="20"/>
      <c r="H242" s="20"/>
      <c r="I242" s="20" t="s">
        <v>130</v>
      </c>
      <c r="J242" s="20"/>
      <c r="K242" s="20"/>
      <c r="L242" s="20"/>
      <c r="M242" s="20"/>
      <c r="N242" s="15"/>
    </row>
    <row r="243" spans="1:14">
      <c r="A243" s="197"/>
      <c r="B243" s="197"/>
      <c r="C243" s="200"/>
      <c r="D243" s="201"/>
      <c r="E243" s="20" t="s">
        <v>453</v>
      </c>
      <c r="F243" s="14">
        <v>4</v>
      </c>
      <c r="G243" s="20"/>
      <c r="H243" s="20"/>
      <c r="I243" s="20" t="s">
        <v>130</v>
      </c>
      <c r="J243" s="20"/>
      <c r="K243" s="20"/>
      <c r="L243" s="20"/>
      <c r="M243" s="20"/>
      <c r="N243" s="15"/>
    </row>
    <row r="244" spans="1:14">
      <c r="A244" s="197"/>
      <c r="B244" s="197"/>
      <c r="C244" s="200"/>
      <c r="D244" s="201"/>
      <c r="E244" s="20" t="s">
        <v>454</v>
      </c>
      <c r="F244" s="14">
        <v>5</v>
      </c>
      <c r="G244" s="20"/>
      <c r="H244" s="20"/>
      <c r="I244" s="20" t="s">
        <v>130</v>
      </c>
      <c r="J244" s="20"/>
      <c r="K244" s="20"/>
      <c r="L244" s="20"/>
      <c r="M244" s="20"/>
      <c r="N244" s="15"/>
    </row>
    <row r="245" spans="1:14">
      <c r="A245" s="197"/>
      <c r="B245" s="197"/>
      <c r="C245" s="200"/>
      <c r="D245" s="201"/>
      <c r="E245" s="20" t="s">
        <v>455</v>
      </c>
      <c r="F245" s="14">
        <v>6</v>
      </c>
      <c r="G245" s="20"/>
      <c r="H245" s="20"/>
      <c r="I245" s="20" t="s">
        <v>130</v>
      </c>
      <c r="J245" s="20"/>
      <c r="K245" s="20"/>
      <c r="L245" s="20"/>
      <c r="M245" s="20"/>
      <c r="N245" s="15"/>
    </row>
    <row r="246" spans="1:14">
      <c r="A246" s="197"/>
      <c r="B246" s="197"/>
      <c r="C246" s="200"/>
      <c r="D246" s="201"/>
      <c r="E246" s="20" t="s">
        <v>456</v>
      </c>
      <c r="F246" s="14">
        <v>7</v>
      </c>
      <c r="G246" s="20"/>
      <c r="H246" s="20"/>
      <c r="I246" s="20" t="s">
        <v>130</v>
      </c>
      <c r="J246" s="20"/>
      <c r="K246" s="20"/>
      <c r="L246" s="20"/>
      <c r="M246" s="20"/>
      <c r="N246" s="15"/>
    </row>
    <row r="247" spans="1:14">
      <c r="A247" s="197"/>
      <c r="B247" s="197"/>
      <c r="C247" s="200"/>
      <c r="D247" s="201"/>
      <c r="E247" s="20" t="s">
        <v>457</v>
      </c>
      <c r="F247" s="14">
        <v>8</v>
      </c>
      <c r="G247" s="20"/>
      <c r="H247" s="20"/>
      <c r="I247" s="20" t="s">
        <v>130</v>
      </c>
      <c r="J247" s="20"/>
      <c r="K247" s="20"/>
      <c r="L247" s="20"/>
      <c r="M247" s="20"/>
      <c r="N247" s="15"/>
    </row>
    <row r="248" spans="1:14">
      <c r="A248" s="197"/>
      <c r="B248" s="197"/>
      <c r="C248" s="200"/>
      <c r="D248" s="201"/>
      <c r="E248" s="20" t="s">
        <v>458</v>
      </c>
      <c r="F248" s="14">
        <v>9</v>
      </c>
      <c r="G248" s="20"/>
      <c r="H248" s="20"/>
      <c r="I248" s="20" t="s">
        <v>130</v>
      </c>
      <c r="J248" s="20"/>
      <c r="K248" s="20"/>
      <c r="L248" s="20"/>
      <c r="M248" s="20"/>
      <c r="N248" s="15"/>
    </row>
    <row r="249" spans="1:14">
      <c r="A249" s="197"/>
      <c r="B249" s="197"/>
      <c r="C249" s="200"/>
      <c r="D249" s="201"/>
      <c r="E249" s="20" t="s">
        <v>459</v>
      </c>
      <c r="F249" s="14">
        <v>10</v>
      </c>
      <c r="G249" s="20"/>
      <c r="H249" s="20"/>
      <c r="I249" s="20" t="s">
        <v>130</v>
      </c>
      <c r="J249" s="20"/>
      <c r="K249" s="20"/>
      <c r="L249" s="20"/>
      <c r="M249" s="20"/>
      <c r="N249" s="15"/>
    </row>
    <row r="250" spans="1:14">
      <c r="A250" s="185"/>
      <c r="B250" s="185"/>
      <c r="C250" s="202"/>
      <c r="D250" s="203"/>
      <c r="E250" s="20" t="s">
        <v>460</v>
      </c>
      <c r="F250" s="14">
        <v>11</v>
      </c>
      <c r="G250" s="20"/>
      <c r="H250" s="20"/>
      <c r="I250" s="20" t="s">
        <v>130</v>
      </c>
      <c r="J250" s="20"/>
      <c r="K250" s="20"/>
      <c r="L250" s="20"/>
      <c r="M250" s="20"/>
      <c r="N250" s="15"/>
    </row>
    <row r="251" spans="1:14">
      <c r="A251" s="184">
        <v>6</v>
      </c>
      <c r="B251" s="184" t="s">
        <v>94</v>
      </c>
      <c r="C251" s="198" t="s">
        <v>86</v>
      </c>
      <c r="D251" s="199"/>
      <c r="E251" s="20" t="s">
        <v>461</v>
      </c>
      <c r="F251" s="14">
        <v>1</v>
      </c>
      <c r="G251" s="20"/>
      <c r="H251" s="20"/>
      <c r="I251" s="20" t="s">
        <v>130</v>
      </c>
      <c r="J251" s="20"/>
      <c r="K251" s="20"/>
      <c r="L251" s="20"/>
      <c r="M251" s="20"/>
      <c r="N251" s="15"/>
    </row>
    <row r="252" spans="1:14">
      <c r="A252" s="185"/>
      <c r="B252" s="185"/>
      <c r="C252" s="202"/>
      <c r="D252" s="203"/>
      <c r="E252" s="20" t="s">
        <v>462</v>
      </c>
      <c r="F252" s="14">
        <v>2</v>
      </c>
      <c r="G252" s="20"/>
      <c r="H252" s="20"/>
      <c r="I252" s="20" t="s">
        <v>130</v>
      </c>
      <c r="J252" s="20"/>
      <c r="K252" s="20"/>
      <c r="L252" s="20"/>
      <c r="M252" s="20"/>
      <c r="N252" s="15"/>
    </row>
    <row r="253" spans="1:14">
      <c r="A253" s="209">
        <v>7</v>
      </c>
      <c r="B253" s="210" t="s">
        <v>152</v>
      </c>
      <c r="C253" s="205" t="s">
        <v>91</v>
      </c>
      <c r="D253" s="206"/>
      <c r="E253" s="20" t="s">
        <v>463</v>
      </c>
      <c r="F253" s="14">
        <v>1</v>
      </c>
      <c r="G253" s="20"/>
      <c r="H253" s="20"/>
      <c r="I253" s="20"/>
      <c r="J253" s="20"/>
      <c r="K253" s="20"/>
      <c r="L253" s="20"/>
      <c r="M253" s="20"/>
      <c r="N253" s="15"/>
    </row>
    <row r="254" spans="1:14">
      <c r="A254" s="209"/>
      <c r="B254" s="211"/>
      <c r="C254" s="198" t="s">
        <v>95</v>
      </c>
      <c r="D254" s="199"/>
      <c r="E254" s="20" t="s">
        <v>464</v>
      </c>
      <c r="F254" s="14">
        <v>1</v>
      </c>
      <c r="G254" s="20"/>
      <c r="H254" s="20"/>
      <c r="I254" s="20"/>
      <c r="J254" s="20"/>
      <c r="K254" s="20"/>
      <c r="L254" s="20"/>
      <c r="M254" s="20"/>
      <c r="N254" s="15"/>
    </row>
    <row r="255" spans="1:14">
      <c r="A255" s="209"/>
      <c r="B255" s="211"/>
      <c r="C255" s="200"/>
      <c r="D255" s="201"/>
      <c r="E255" s="20" t="s">
        <v>465</v>
      </c>
      <c r="F255" s="14">
        <v>2</v>
      </c>
      <c r="G255" s="20"/>
      <c r="H255" s="20"/>
      <c r="I255" s="20"/>
      <c r="J255" s="20"/>
      <c r="K255" s="20"/>
      <c r="L255" s="20"/>
      <c r="M255" s="20"/>
      <c r="N255" s="15"/>
    </row>
    <row r="256" spans="1:14">
      <c r="A256" s="209"/>
      <c r="B256" s="211"/>
      <c r="C256" s="200"/>
      <c r="D256" s="201"/>
      <c r="E256" s="20" t="s">
        <v>466</v>
      </c>
      <c r="F256" s="14">
        <v>3</v>
      </c>
      <c r="G256" s="20"/>
      <c r="H256" s="20"/>
      <c r="I256" s="20"/>
      <c r="J256" s="20"/>
      <c r="K256" s="20"/>
      <c r="L256" s="20"/>
      <c r="M256" s="20"/>
      <c r="N256" s="15"/>
    </row>
    <row r="257" spans="1:14">
      <c r="A257" s="209"/>
      <c r="B257" s="211"/>
      <c r="C257" s="200"/>
      <c r="D257" s="201"/>
      <c r="E257" s="20" t="s">
        <v>467</v>
      </c>
      <c r="F257" s="14">
        <v>4</v>
      </c>
      <c r="G257" s="20"/>
      <c r="H257" s="20"/>
      <c r="I257" s="20"/>
      <c r="J257" s="20"/>
      <c r="K257" s="20"/>
      <c r="L257" s="20"/>
      <c r="M257" s="20"/>
      <c r="N257" s="15"/>
    </row>
    <row r="258" spans="1:14">
      <c r="A258" s="209"/>
      <c r="B258" s="211"/>
      <c r="C258" s="200"/>
      <c r="D258" s="201"/>
      <c r="E258" s="20" t="s">
        <v>468</v>
      </c>
      <c r="F258" s="14">
        <v>5</v>
      </c>
      <c r="G258" s="20"/>
      <c r="H258" s="20"/>
      <c r="I258" s="20"/>
      <c r="J258" s="20"/>
      <c r="K258" s="20"/>
      <c r="L258" s="20"/>
      <c r="M258" s="20"/>
      <c r="N258" s="15"/>
    </row>
    <row r="259" spans="1:14">
      <c r="A259" s="209"/>
      <c r="B259" s="211"/>
      <c r="C259" s="200"/>
      <c r="D259" s="201"/>
      <c r="E259" s="20" t="s">
        <v>469</v>
      </c>
      <c r="F259" s="14">
        <v>6</v>
      </c>
      <c r="G259" s="20"/>
      <c r="H259" s="20"/>
      <c r="I259" s="20"/>
      <c r="J259" s="20"/>
      <c r="K259" s="20"/>
      <c r="L259" s="20"/>
      <c r="M259" s="20"/>
      <c r="N259" s="15"/>
    </row>
    <row r="260" spans="1:14">
      <c r="A260" s="209"/>
      <c r="B260" s="211"/>
      <c r="C260" s="200"/>
      <c r="D260" s="201"/>
      <c r="E260" s="20" t="s">
        <v>470</v>
      </c>
      <c r="F260" s="14">
        <v>7</v>
      </c>
      <c r="G260" s="20"/>
      <c r="H260" s="20"/>
      <c r="I260" s="20"/>
      <c r="J260" s="20"/>
      <c r="K260" s="20"/>
      <c r="L260" s="20"/>
      <c r="M260" s="20"/>
      <c r="N260" s="15"/>
    </row>
    <row r="261" spans="1:14">
      <c r="A261" s="209"/>
      <c r="B261" s="211"/>
      <c r="C261" s="200"/>
      <c r="D261" s="201"/>
      <c r="E261" s="20" t="s">
        <v>471</v>
      </c>
      <c r="F261" s="14">
        <v>8</v>
      </c>
      <c r="G261" s="20"/>
      <c r="H261" s="20"/>
      <c r="I261" s="20"/>
      <c r="J261" s="20"/>
      <c r="K261" s="20"/>
      <c r="L261" s="20"/>
      <c r="M261" s="20"/>
      <c r="N261" s="15"/>
    </row>
    <row r="262" spans="1:14">
      <c r="A262" s="209"/>
      <c r="B262" s="211"/>
      <c r="C262" s="202"/>
      <c r="D262" s="203"/>
      <c r="E262" s="20" t="s">
        <v>472</v>
      </c>
      <c r="F262" s="14">
        <v>9</v>
      </c>
      <c r="G262" s="20"/>
      <c r="H262" s="20"/>
      <c r="I262" s="20"/>
      <c r="J262" s="20"/>
      <c r="K262" s="20"/>
      <c r="L262" s="20"/>
      <c r="M262" s="20"/>
      <c r="N262" s="15"/>
    </row>
    <row r="263" spans="1:14">
      <c r="A263" s="209"/>
      <c r="B263" s="211"/>
      <c r="C263" s="198" t="s">
        <v>86</v>
      </c>
      <c r="D263" s="199"/>
      <c r="E263" s="20" t="s">
        <v>473</v>
      </c>
      <c r="F263" s="14">
        <v>1</v>
      </c>
      <c r="G263" s="20"/>
      <c r="H263" s="20"/>
      <c r="I263" s="20"/>
      <c r="J263" s="20"/>
      <c r="K263" s="20"/>
      <c r="L263" s="20"/>
      <c r="M263" s="20"/>
      <c r="N263" s="15"/>
    </row>
    <row r="264" spans="1:14">
      <c r="A264" s="209"/>
      <c r="B264" s="211"/>
      <c r="C264" s="200"/>
      <c r="D264" s="201"/>
      <c r="E264" s="20" t="s">
        <v>474</v>
      </c>
      <c r="F264" s="14">
        <v>2</v>
      </c>
      <c r="G264" s="20"/>
      <c r="H264" s="20"/>
      <c r="I264" s="20"/>
      <c r="J264" s="20"/>
      <c r="K264" s="20"/>
      <c r="L264" s="20"/>
      <c r="M264" s="20"/>
      <c r="N264" s="15"/>
    </row>
    <row r="265" spans="1:14">
      <c r="A265" s="209"/>
      <c r="B265" s="211"/>
      <c r="C265" s="200"/>
      <c r="D265" s="201"/>
      <c r="E265" s="20" t="s">
        <v>475</v>
      </c>
      <c r="F265" s="14">
        <v>3</v>
      </c>
      <c r="G265" s="20"/>
      <c r="H265" s="20"/>
      <c r="I265" s="20"/>
      <c r="J265" s="20"/>
      <c r="K265" s="20"/>
      <c r="L265" s="20"/>
      <c r="M265" s="20"/>
      <c r="N265" s="15"/>
    </row>
    <row r="266" spans="1:14">
      <c r="A266" s="209"/>
      <c r="B266" s="211"/>
      <c r="C266" s="200"/>
      <c r="D266" s="201"/>
      <c r="E266" s="20" t="s">
        <v>476</v>
      </c>
      <c r="F266" s="14">
        <v>4</v>
      </c>
      <c r="G266" s="20"/>
      <c r="H266" s="20"/>
      <c r="I266" s="20"/>
      <c r="J266" s="20"/>
      <c r="K266" s="20"/>
      <c r="L266" s="20"/>
      <c r="M266" s="20"/>
      <c r="N266" s="15"/>
    </row>
    <row r="267" spans="1:14">
      <c r="A267" s="209"/>
      <c r="B267" s="211"/>
      <c r="C267" s="200"/>
      <c r="D267" s="201"/>
      <c r="E267" s="20" t="s">
        <v>477</v>
      </c>
      <c r="F267" s="14">
        <v>5</v>
      </c>
      <c r="G267" s="20"/>
      <c r="H267" s="20"/>
      <c r="I267" s="20"/>
      <c r="J267" s="20"/>
      <c r="K267" s="20"/>
      <c r="L267" s="20"/>
      <c r="M267" s="20"/>
      <c r="N267" s="15"/>
    </row>
    <row r="268" spans="1:14">
      <c r="A268" s="209"/>
      <c r="B268" s="211"/>
      <c r="C268" s="200"/>
      <c r="D268" s="201"/>
      <c r="E268" s="20" t="s">
        <v>478</v>
      </c>
      <c r="F268" s="14">
        <v>6</v>
      </c>
      <c r="G268" s="20"/>
      <c r="H268" s="20"/>
      <c r="I268" s="20"/>
      <c r="J268" s="20"/>
      <c r="K268" s="20"/>
      <c r="L268" s="20"/>
      <c r="M268" s="20"/>
      <c r="N268" s="15"/>
    </row>
    <row r="269" spans="1:14">
      <c r="A269" s="209"/>
      <c r="B269" s="211"/>
      <c r="C269" s="200"/>
      <c r="D269" s="201"/>
      <c r="E269" s="20" t="s">
        <v>479</v>
      </c>
      <c r="F269" s="14">
        <v>7</v>
      </c>
      <c r="G269" s="20"/>
      <c r="H269" s="20"/>
      <c r="I269" s="20"/>
      <c r="J269" s="20"/>
      <c r="K269" s="20"/>
      <c r="L269" s="20"/>
      <c r="M269" s="20"/>
      <c r="N269" s="15"/>
    </row>
    <row r="270" spans="1:14">
      <c r="A270" s="209"/>
      <c r="B270" s="211"/>
      <c r="C270" s="200"/>
      <c r="D270" s="201"/>
      <c r="E270" s="20" t="s">
        <v>480</v>
      </c>
      <c r="F270" s="14">
        <v>8</v>
      </c>
      <c r="G270" s="20"/>
      <c r="H270" s="20"/>
      <c r="I270" s="20"/>
      <c r="J270" s="20"/>
      <c r="K270" s="20"/>
      <c r="L270" s="20"/>
      <c r="M270" s="20"/>
      <c r="N270" s="15"/>
    </row>
    <row r="271" spans="1:14">
      <c r="A271" s="209"/>
      <c r="B271" s="211"/>
      <c r="C271" s="200"/>
      <c r="D271" s="201"/>
      <c r="E271" s="20" t="s">
        <v>481</v>
      </c>
      <c r="F271" s="14">
        <v>9</v>
      </c>
      <c r="G271" s="20"/>
      <c r="H271" s="20"/>
      <c r="I271" s="20"/>
      <c r="J271" s="20"/>
      <c r="K271" s="20"/>
      <c r="L271" s="20"/>
      <c r="M271" s="20"/>
      <c r="N271" s="15"/>
    </row>
    <row r="272" spans="1:14">
      <c r="A272" s="209"/>
      <c r="B272" s="211"/>
      <c r="C272" s="200"/>
      <c r="D272" s="201"/>
      <c r="E272" s="20" t="s">
        <v>307</v>
      </c>
      <c r="F272" s="14">
        <v>10</v>
      </c>
      <c r="G272" s="20"/>
      <c r="H272" s="20"/>
      <c r="I272" s="20"/>
      <c r="J272" s="20"/>
      <c r="K272" s="20"/>
      <c r="L272" s="20"/>
      <c r="M272" s="20"/>
      <c r="N272" s="15"/>
    </row>
    <row r="273" spans="1:14">
      <c r="A273" s="209"/>
      <c r="B273" s="211"/>
      <c r="C273" s="202"/>
      <c r="D273" s="203"/>
      <c r="E273" s="20" t="s">
        <v>482</v>
      </c>
      <c r="F273" s="14">
        <v>11</v>
      </c>
      <c r="G273" s="20"/>
      <c r="H273" s="20"/>
      <c r="I273" s="20"/>
      <c r="J273" s="20"/>
      <c r="K273" s="20"/>
      <c r="L273" s="20"/>
      <c r="M273" s="20"/>
      <c r="N273" s="15"/>
    </row>
    <row r="274" spans="1:14">
      <c r="A274" s="205" t="s">
        <v>289</v>
      </c>
      <c r="B274" s="215"/>
      <c r="C274" s="215"/>
      <c r="D274" s="206"/>
      <c r="E274" s="21"/>
      <c r="F274" s="14"/>
      <c r="G274" s="20"/>
      <c r="H274" s="20"/>
      <c r="I274" s="20"/>
      <c r="J274" s="20"/>
      <c r="K274" s="20"/>
      <c r="L274" s="20"/>
      <c r="M274" s="20"/>
      <c r="N274" s="15"/>
    </row>
  </sheetData>
  <mergeCells count="46">
    <mergeCell ref="N203:N205"/>
    <mergeCell ref="E2:E3"/>
    <mergeCell ref="A274:D274"/>
    <mergeCell ref="C6:D98"/>
    <mergeCell ref="C99:D130"/>
    <mergeCell ref="C131:D132"/>
    <mergeCell ref="C133:D134"/>
    <mergeCell ref="C135:D136"/>
    <mergeCell ref="I2:M2"/>
    <mergeCell ref="F2:F3"/>
    <mergeCell ref="C251:D252"/>
    <mergeCell ref="B251:B252"/>
    <mergeCell ref="C219:D239"/>
    <mergeCell ref="C187:D218"/>
    <mergeCell ref="B162:B182"/>
    <mergeCell ref="C2:D3"/>
    <mergeCell ref="C263:D273"/>
    <mergeCell ref="C254:D262"/>
    <mergeCell ref="C253:D253"/>
    <mergeCell ref="C4:D5"/>
    <mergeCell ref="A1:N1"/>
    <mergeCell ref="A253:A273"/>
    <mergeCell ref="B253:B273"/>
    <mergeCell ref="G2:H2"/>
    <mergeCell ref="A2:A3"/>
    <mergeCell ref="B2:B3"/>
    <mergeCell ref="A6:A136"/>
    <mergeCell ref="A137:A161"/>
    <mergeCell ref="A162:A182"/>
    <mergeCell ref="B6:B136"/>
    <mergeCell ref="B137:B161"/>
    <mergeCell ref="C172:D182"/>
    <mergeCell ref="B4:B5"/>
    <mergeCell ref="B187:B239"/>
    <mergeCell ref="C183:D186"/>
    <mergeCell ref="B183:B186"/>
    <mergeCell ref="A251:A252"/>
    <mergeCell ref="A240:A250"/>
    <mergeCell ref="B240:B250"/>
    <mergeCell ref="C240:D250"/>
    <mergeCell ref="A183:A239"/>
    <mergeCell ref="C158:D161"/>
    <mergeCell ref="C162:D171"/>
    <mergeCell ref="C137:D154"/>
    <mergeCell ref="A4:A5"/>
    <mergeCell ref="C155:D15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3"/>
  <sheetViews>
    <sheetView topLeftCell="A134" zoomScale="130" zoomScaleNormal="130" workbookViewId="0">
      <selection activeCell="I127" sqref="I127"/>
    </sheetView>
  </sheetViews>
  <sheetFormatPr defaultRowHeight="12"/>
  <cols>
    <col min="1" max="1" width="3.5" style="29" customWidth="1"/>
    <col min="2" max="2" width="3.875" style="24" customWidth="1"/>
    <col min="3" max="3" width="4.25" style="24" customWidth="1"/>
    <col min="4" max="4" width="3.875" style="24" customWidth="1"/>
    <col min="5" max="5" width="4.375" style="24" customWidth="1"/>
    <col min="6" max="6" width="3.625" style="24" customWidth="1"/>
    <col min="7" max="7" width="3.75" style="24" customWidth="1"/>
    <col min="8" max="8" width="3.875" style="24" customWidth="1"/>
    <col min="9" max="9" width="4" style="24" customWidth="1"/>
    <col min="10" max="10" width="3.75" style="24" customWidth="1"/>
    <col min="11" max="11" width="3.875" style="24" customWidth="1"/>
    <col min="12" max="12" width="4" style="24" customWidth="1"/>
    <col min="13" max="13" width="3.625" style="24" customWidth="1"/>
    <col min="14" max="14" width="4.125" style="24" customWidth="1"/>
    <col min="15" max="15" width="22.625" style="24" customWidth="1"/>
    <col min="16" max="16384" width="9" style="24"/>
  </cols>
  <sheetData>
    <row r="1" spans="1:15" ht="31.5" customHeight="1">
      <c r="A1" s="245" t="s">
        <v>291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1:15">
      <c r="A2" s="247" t="s">
        <v>96</v>
      </c>
      <c r="B2" s="248" t="s">
        <v>97</v>
      </c>
      <c r="C2" s="239" t="s">
        <v>98</v>
      </c>
      <c r="D2" s="240"/>
      <c r="E2" s="228" t="s">
        <v>292</v>
      </c>
      <c r="F2" s="248" t="s">
        <v>105</v>
      </c>
      <c r="G2" s="248"/>
      <c r="H2" s="248" t="s">
        <v>102</v>
      </c>
      <c r="I2" s="248"/>
      <c r="J2" s="248"/>
      <c r="K2" s="248" t="s">
        <v>519</v>
      </c>
      <c r="L2" s="248"/>
      <c r="M2" s="237" t="s">
        <v>490</v>
      </c>
      <c r="N2" s="238"/>
      <c r="O2" s="248" t="s">
        <v>101</v>
      </c>
    </row>
    <row r="3" spans="1:15" ht="25.5" customHeight="1">
      <c r="A3" s="247"/>
      <c r="B3" s="248"/>
      <c r="C3" s="243"/>
      <c r="D3" s="244"/>
      <c r="E3" s="230"/>
      <c r="F3" s="22" t="s">
        <v>103</v>
      </c>
      <c r="G3" s="22" t="s">
        <v>104</v>
      </c>
      <c r="H3" s="22" t="s">
        <v>99</v>
      </c>
      <c r="I3" s="22" t="s">
        <v>100</v>
      </c>
      <c r="J3" s="22" t="s">
        <v>537</v>
      </c>
      <c r="K3" s="22" t="s">
        <v>491</v>
      </c>
      <c r="L3" s="22" t="s">
        <v>520</v>
      </c>
      <c r="M3" s="22" t="s">
        <v>491</v>
      </c>
      <c r="N3" s="22" t="s">
        <v>492</v>
      </c>
      <c r="O3" s="248"/>
    </row>
    <row r="4" spans="1:15">
      <c r="A4" s="216">
        <v>1</v>
      </c>
      <c r="B4" s="228" t="s">
        <v>106</v>
      </c>
      <c r="C4" s="239" t="s">
        <v>127</v>
      </c>
      <c r="D4" s="240"/>
      <c r="E4" s="22">
        <v>1</v>
      </c>
      <c r="F4" s="22"/>
      <c r="G4" s="22"/>
      <c r="H4" s="22"/>
      <c r="I4" s="23" t="s">
        <v>293</v>
      </c>
      <c r="J4" s="23" t="s">
        <v>293</v>
      </c>
      <c r="K4" s="22"/>
      <c r="L4" s="23" t="s">
        <v>293</v>
      </c>
      <c r="M4" s="22"/>
      <c r="N4" s="22"/>
      <c r="O4" s="22" t="s">
        <v>524</v>
      </c>
    </row>
    <row r="5" spans="1:15">
      <c r="A5" s="227"/>
      <c r="B5" s="229"/>
      <c r="C5" s="243"/>
      <c r="D5" s="244"/>
      <c r="E5" s="22">
        <v>2</v>
      </c>
      <c r="F5" s="22"/>
      <c r="G5" s="22"/>
      <c r="H5" s="22"/>
      <c r="I5" s="23" t="s">
        <v>293</v>
      </c>
      <c r="J5" s="22"/>
      <c r="K5" s="22"/>
      <c r="L5" s="23" t="s">
        <v>293</v>
      </c>
      <c r="M5" s="22"/>
      <c r="N5" s="22"/>
      <c r="O5" s="22" t="s">
        <v>523</v>
      </c>
    </row>
    <row r="6" spans="1:15" ht="24">
      <c r="A6" s="217"/>
      <c r="B6" s="230"/>
      <c r="C6" s="237" t="s">
        <v>107</v>
      </c>
      <c r="D6" s="238"/>
      <c r="E6" s="25">
        <v>1</v>
      </c>
      <c r="F6" s="22"/>
      <c r="G6" s="22"/>
      <c r="H6" s="22"/>
      <c r="I6" s="23" t="s">
        <v>293</v>
      </c>
      <c r="J6" s="23" t="s">
        <v>293</v>
      </c>
      <c r="K6" s="22"/>
      <c r="L6" s="23" t="s">
        <v>293</v>
      </c>
      <c r="M6" s="22"/>
      <c r="N6" s="22"/>
      <c r="O6" s="22" t="s">
        <v>525</v>
      </c>
    </row>
    <row r="7" spans="1:15">
      <c r="A7" s="219">
        <v>2</v>
      </c>
      <c r="B7" s="222" t="s">
        <v>114</v>
      </c>
      <c r="C7" s="231" t="s">
        <v>526</v>
      </c>
      <c r="D7" s="232"/>
      <c r="E7" s="34">
        <v>1</v>
      </c>
      <c r="F7" s="35"/>
      <c r="G7" s="35"/>
      <c r="H7" s="35"/>
      <c r="I7" s="36" t="s">
        <v>293</v>
      </c>
      <c r="J7" s="36" t="s">
        <v>293</v>
      </c>
      <c r="K7" s="35"/>
      <c r="L7" s="36" t="s">
        <v>293</v>
      </c>
      <c r="M7" s="35"/>
      <c r="N7" s="35"/>
      <c r="O7" s="35" t="s">
        <v>528</v>
      </c>
    </row>
    <row r="8" spans="1:15">
      <c r="A8" s="220"/>
      <c r="B8" s="223"/>
      <c r="C8" s="235"/>
      <c r="D8" s="236"/>
      <c r="E8" s="34">
        <v>2</v>
      </c>
      <c r="F8" s="35"/>
      <c r="G8" s="35"/>
      <c r="H8" s="35"/>
      <c r="I8" s="36" t="s">
        <v>293</v>
      </c>
      <c r="J8" s="36" t="s">
        <v>293</v>
      </c>
      <c r="K8" s="35"/>
      <c r="L8" s="36" t="s">
        <v>293</v>
      </c>
      <c r="M8" s="35"/>
      <c r="N8" s="35"/>
      <c r="O8" s="35" t="s">
        <v>527</v>
      </c>
    </row>
    <row r="9" spans="1:15" ht="16.5" customHeight="1">
      <c r="A9" s="220"/>
      <c r="B9" s="223"/>
      <c r="C9" s="225" t="s">
        <v>85</v>
      </c>
      <c r="D9" s="226"/>
      <c r="E9" s="36">
        <v>1</v>
      </c>
      <c r="F9" s="36"/>
      <c r="G9" s="36"/>
      <c r="H9" s="36" t="s">
        <v>293</v>
      </c>
      <c r="I9" s="36" t="s">
        <v>293</v>
      </c>
      <c r="J9" s="36"/>
      <c r="K9" s="36"/>
      <c r="L9" s="36"/>
      <c r="M9" s="36"/>
      <c r="N9" s="36"/>
      <c r="O9" s="36"/>
    </row>
    <row r="10" spans="1:15">
      <c r="A10" s="220"/>
      <c r="B10" s="223"/>
      <c r="C10" s="231" t="s">
        <v>86</v>
      </c>
      <c r="D10" s="232"/>
      <c r="E10" s="36">
        <v>1</v>
      </c>
      <c r="F10" s="36"/>
      <c r="G10" s="36"/>
      <c r="H10" s="36" t="s">
        <v>293</v>
      </c>
      <c r="I10" s="36" t="s">
        <v>507</v>
      </c>
      <c r="J10" s="36"/>
      <c r="K10" s="36"/>
      <c r="L10" s="36"/>
      <c r="M10" s="36"/>
      <c r="N10" s="36"/>
      <c r="O10" s="36"/>
    </row>
    <row r="11" spans="1:15">
      <c r="A11" s="220"/>
      <c r="B11" s="223"/>
      <c r="C11" s="233"/>
      <c r="D11" s="234"/>
      <c r="E11" s="36">
        <v>2</v>
      </c>
      <c r="F11" s="36"/>
      <c r="G11" s="36"/>
      <c r="H11" s="36" t="s">
        <v>293</v>
      </c>
      <c r="I11" s="36" t="s">
        <v>507</v>
      </c>
      <c r="J11" s="36"/>
      <c r="K11" s="36"/>
      <c r="L11" s="36"/>
      <c r="M11" s="36"/>
      <c r="N11" s="36"/>
      <c r="O11" s="36"/>
    </row>
    <row r="12" spans="1:15">
      <c r="A12" s="220"/>
      <c r="B12" s="223"/>
      <c r="C12" s="233"/>
      <c r="D12" s="234"/>
      <c r="E12" s="36">
        <v>3</v>
      </c>
      <c r="F12" s="36"/>
      <c r="G12" s="36"/>
      <c r="H12" s="36" t="s">
        <v>293</v>
      </c>
      <c r="I12" s="36" t="s">
        <v>507</v>
      </c>
      <c r="J12" s="36"/>
      <c r="K12" s="36"/>
      <c r="L12" s="36"/>
      <c r="M12" s="36"/>
      <c r="N12" s="36"/>
      <c r="O12" s="36"/>
    </row>
    <row r="13" spans="1:15">
      <c r="A13" s="220"/>
      <c r="B13" s="223"/>
      <c r="C13" s="233"/>
      <c r="D13" s="234"/>
      <c r="E13" s="36">
        <v>4</v>
      </c>
      <c r="F13" s="36"/>
      <c r="G13" s="36"/>
      <c r="H13" s="36" t="s">
        <v>293</v>
      </c>
      <c r="I13" s="36" t="s">
        <v>507</v>
      </c>
      <c r="J13" s="36"/>
      <c r="K13" s="36"/>
      <c r="L13" s="36"/>
      <c r="M13" s="36"/>
      <c r="N13" s="36"/>
      <c r="O13" s="36"/>
    </row>
    <row r="14" spans="1:15">
      <c r="A14" s="220"/>
      <c r="B14" s="223"/>
      <c r="C14" s="233"/>
      <c r="D14" s="234"/>
      <c r="E14" s="36">
        <v>5</v>
      </c>
      <c r="F14" s="36"/>
      <c r="G14" s="36"/>
      <c r="H14" s="36" t="s">
        <v>293</v>
      </c>
      <c r="I14" s="36" t="s">
        <v>507</v>
      </c>
      <c r="J14" s="36"/>
      <c r="K14" s="36"/>
      <c r="L14" s="36"/>
      <c r="M14" s="36"/>
      <c r="N14" s="36"/>
      <c r="O14" s="36"/>
    </row>
    <row r="15" spans="1:15">
      <c r="A15" s="220"/>
      <c r="B15" s="223"/>
      <c r="C15" s="233"/>
      <c r="D15" s="234"/>
      <c r="E15" s="36">
        <v>6</v>
      </c>
      <c r="F15" s="36"/>
      <c r="G15" s="36"/>
      <c r="H15" s="36" t="s">
        <v>293</v>
      </c>
      <c r="I15" s="36" t="s">
        <v>507</v>
      </c>
      <c r="J15" s="36"/>
      <c r="K15" s="36"/>
      <c r="L15" s="36"/>
      <c r="M15" s="36"/>
      <c r="N15" s="36"/>
      <c r="O15" s="36"/>
    </row>
    <row r="16" spans="1:15">
      <c r="A16" s="220"/>
      <c r="B16" s="223"/>
      <c r="C16" s="233"/>
      <c r="D16" s="234"/>
      <c r="E16" s="36">
        <v>7</v>
      </c>
      <c r="F16" s="36"/>
      <c r="G16" s="36"/>
      <c r="H16" s="36" t="s">
        <v>293</v>
      </c>
      <c r="I16" s="36" t="s">
        <v>507</v>
      </c>
      <c r="J16" s="36"/>
      <c r="K16" s="36"/>
      <c r="L16" s="36"/>
      <c r="M16" s="36"/>
      <c r="N16" s="36"/>
      <c r="O16" s="36"/>
    </row>
    <row r="17" spans="1:15">
      <c r="A17" s="220"/>
      <c r="B17" s="223"/>
      <c r="C17" s="233"/>
      <c r="D17" s="234"/>
      <c r="E17" s="36">
        <v>8</v>
      </c>
      <c r="F17" s="36"/>
      <c r="G17" s="36"/>
      <c r="H17" s="36" t="s">
        <v>293</v>
      </c>
      <c r="I17" s="36" t="s">
        <v>507</v>
      </c>
      <c r="J17" s="36"/>
      <c r="K17" s="36"/>
      <c r="L17" s="36"/>
      <c r="M17" s="36"/>
      <c r="N17" s="36"/>
      <c r="O17" s="36"/>
    </row>
    <row r="18" spans="1:15">
      <c r="A18" s="220"/>
      <c r="B18" s="223"/>
      <c r="C18" s="233"/>
      <c r="D18" s="234"/>
      <c r="E18" s="36">
        <v>9</v>
      </c>
      <c r="F18" s="36"/>
      <c r="G18" s="36"/>
      <c r="H18" s="36" t="s">
        <v>293</v>
      </c>
      <c r="I18" s="36" t="s">
        <v>507</v>
      </c>
      <c r="J18" s="36"/>
      <c r="K18" s="36"/>
      <c r="L18" s="36"/>
      <c r="M18" s="36"/>
      <c r="N18" s="36"/>
      <c r="O18" s="36"/>
    </row>
    <row r="19" spans="1:15">
      <c r="A19" s="220"/>
      <c r="B19" s="223"/>
      <c r="C19" s="233"/>
      <c r="D19" s="234"/>
      <c r="E19" s="36">
        <v>10</v>
      </c>
      <c r="F19" s="36"/>
      <c r="G19" s="36"/>
      <c r="H19" s="36" t="s">
        <v>293</v>
      </c>
      <c r="I19" s="36" t="s">
        <v>507</v>
      </c>
      <c r="J19" s="36"/>
      <c r="K19" s="36"/>
      <c r="L19" s="36"/>
      <c r="M19" s="36"/>
      <c r="N19" s="36"/>
      <c r="O19" s="36"/>
    </row>
    <row r="20" spans="1:15">
      <c r="A20" s="220"/>
      <c r="B20" s="223"/>
      <c r="C20" s="233"/>
      <c r="D20" s="234"/>
      <c r="E20" s="36">
        <v>11</v>
      </c>
      <c r="F20" s="36"/>
      <c r="G20" s="36"/>
      <c r="H20" s="36" t="s">
        <v>293</v>
      </c>
      <c r="I20" s="36" t="s">
        <v>293</v>
      </c>
      <c r="J20" s="36"/>
      <c r="K20" s="36"/>
      <c r="L20" s="36"/>
      <c r="M20" s="36"/>
      <c r="N20" s="36"/>
      <c r="O20" s="36"/>
    </row>
    <row r="21" spans="1:15">
      <c r="A21" s="220"/>
      <c r="B21" s="223"/>
      <c r="C21" s="233"/>
      <c r="D21" s="234"/>
      <c r="E21" s="36">
        <v>12</v>
      </c>
      <c r="F21" s="36"/>
      <c r="G21" s="36"/>
      <c r="H21" s="36" t="s">
        <v>293</v>
      </c>
      <c r="I21" s="36" t="s">
        <v>293</v>
      </c>
      <c r="J21" s="36"/>
      <c r="K21" s="36"/>
      <c r="L21" s="36"/>
      <c r="M21" s="36"/>
      <c r="N21" s="36"/>
      <c r="O21" s="36"/>
    </row>
    <row r="22" spans="1:15">
      <c r="A22" s="220"/>
      <c r="B22" s="223"/>
      <c r="C22" s="233"/>
      <c r="D22" s="234"/>
      <c r="E22" s="36">
        <v>13</v>
      </c>
      <c r="F22" s="36"/>
      <c r="G22" s="36"/>
      <c r="H22" s="36" t="s">
        <v>293</v>
      </c>
      <c r="I22" s="36" t="s">
        <v>507</v>
      </c>
      <c r="J22" s="36"/>
      <c r="K22" s="36"/>
      <c r="L22" s="36"/>
      <c r="M22" s="36"/>
      <c r="N22" s="36"/>
      <c r="O22" s="36"/>
    </row>
    <row r="23" spans="1:15">
      <c r="A23" s="220"/>
      <c r="B23" s="223"/>
      <c r="C23" s="233"/>
      <c r="D23" s="234"/>
      <c r="E23" s="36">
        <v>14</v>
      </c>
      <c r="F23" s="36"/>
      <c r="G23" s="36"/>
      <c r="H23" s="36" t="s">
        <v>293</v>
      </c>
      <c r="I23" s="36" t="s">
        <v>507</v>
      </c>
      <c r="J23" s="36"/>
      <c r="K23" s="36"/>
      <c r="L23" s="36"/>
      <c r="M23" s="36"/>
      <c r="N23" s="36"/>
      <c r="O23" s="36"/>
    </row>
    <row r="24" spans="1:15">
      <c r="A24" s="220"/>
      <c r="B24" s="223"/>
      <c r="C24" s="233"/>
      <c r="D24" s="234"/>
      <c r="E24" s="36">
        <v>15</v>
      </c>
      <c r="F24" s="36"/>
      <c r="G24" s="36"/>
      <c r="H24" s="36" t="s">
        <v>293</v>
      </c>
      <c r="I24" s="36" t="s">
        <v>507</v>
      </c>
      <c r="J24" s="36"/>
      <c r="K24" s="36"/>
      <c r="L24" s="36"/>
      <c r="M24" s="36"/>
      <c r="N24" s="36"/>
      <c r="O24" s="36"/>
    </row>
    <row r="25" spans="1:15">
      <c r="A25" s="220"/>
      <c r="B25" s="223"/>
      <c r="C25" s="233"/>
      <c r="D25" s="234"/>
      <c r="E25" s="36">
        <v>16</v>
      </c>
      <c r="F25" s="36"/>
      <c r="G25" s="36"/>
      <c r="H25" s="36" t="s">
        <v>293</v>
      </c>
      <c r="I25" s="36" t="s">
        <v>507</v>
      </c>
      <c r="J25" s="36"/>
      <c r="K25" s="36"/>
      <c r="L25" s="36"/>
      <c r="M25" s="36"/>
      <c r="N25" s="36"/>
      <c r="O25" s="36"/>
    </row>
    <row r="26" spans="1:15">
      <c r="A26" s="220"/>
      <c r="B26" s="223"/>
      <c r="C26" s="233"/>
      <c r="D26" s="234"/>
      <c r="E26" s="36">
        <v>17</v>
      </c>
      <c r="F26" s="36"/>
      <c r="G26" s="36"/>
      <c r="H26" s="36" t="s">
        <v>293</v>
      </c>
      <c r="I26" s="36" t="s">
        <v>507</v>
      </c>
      <c r="J26" s="36"/>
      <c r="K26" s="36"/>
      <c r="L26" s="36"/>
      <c r="M26" s="36"/>
      <c r="N26" s="36"/>
      <c r="O26" s="36"/>
    </row>
    <row r="27" spans="1:15">
      <c r="A27" s="220"/>
      <c r="B27" s="223"/>
      <c r="C27" s="233"/>
      <c r="D27" s="234"/>
      <c r="E27" s="36">
        <v>18</v>
      </c>
      <c r="F27" s="36"/>
      <c r="G27" s="36"/>
      <c r="H27" s="36" t="s">
        <v>293</v>
      </c>
      <c r="I27" s="36" t="s">
        <v>507</v>
      </c>
      <c r="J27" s="36"/>
      <c r="K27" s="36"/>
      <c r="L27" s="36"/>
      <c r="M27" s="36"/>
      <c r="N27" s="36"/>
      <c r="O27" s="36"/>
    </row>
    <row r="28" spans="1:15">
      <c r="A28" s="220"/>
      <c r="B28" s="223"/>
      <c r="C28" s="233"/>
      <c r="D28" s="234"/>
      <c r="E28" s="36">
        <v>19</v>
      </c>
      <c r="F28" s="36"/>
      <c r="G28" s="36"/>
      <c r="H28" s="36" t="s">
        <v>293</v>
      </c>
      <c r="I28" s="36" t="s">
        <v>507</v>
      </c>
      <c r="J28" s="36"/>
      <c r="K28" s="36"/>
      <c r="L28" s="36"/>
      <c r="M28" s="36"/>
      <c r="N28" s="36"/>
      <c r="O28" s="36"/>
    </row>
    <row r="29" spans="1:15">
      <c r="A29" s="220"/>
      <c r="B29" s="223"/>
      <c r="C29" s="233"/>
      <c r="D29" s="234"/>
      <c r="E29" s="36">
        <v>20</v>
      </c>
      <c r="F29" s="36"/>
      <c r="G29" s="36"/>
      <c r="H29" s="36" t="s">
        <v>293</v>
      </c>
      <c r="I29" s="36" t="s">
        <v>507</v>
      </c>
      <c r="J29" s="36"/>
      <c r="K29" s="36"/>
      <c r="L29" s="36"/>
      <c r="M29" s="36"/>
      <c r="N29" s="36"/>
      <c r="O29" s="36"/>
    </row>
    <row r="30" spans="1:15">
      <c r="A30" s="220"/>
      <c r="B30" s="223"/>
      <c r="C30" s="235"/>
      <c r="D30" s="236"/>
      <c r="E30" s="36">
        <v>21</v>
      </c>
      <c r="F30" s="36"/>
      <c r="G30" s="36"/>
      <c r="H30" s="36" t="s">
        <v>293</v>
      </c>
      <c r="I30" s="36" t="s">
        <v>507</v>
      </c>
      <c r="J30" s="36"/>
      <c r="K30" s="36"/>
      <c r="L30" s="36"/>
      <c r="M30" s="36"/>
      <c r="N30" s="36"/>
      <c r="O30" s="36"/>
    </row>
    <row r="31" spans="1:15">
      <c r="A31" s="220"/>
      <c r="B31" s="223"/>
      <c r="C31" s="231" t="s">
        <v>117</v>
      </c>
      <c r="D31" s="232"/>
      <c r="E31" s="36">
        <v>1</v>
      </c>
      <c r="F31" s="36"/>
      <c r="G31" s="36"/>
      <c r="H31" s="36" t="s">
        <v>293</v>
      </c>
      <c r="I31" s="36" t="s">
        <v>507</v>
      </c>
      <c r="J31" s="36"/>
      <c r="K31" s="36"/>
      <c r="L31" s="36"/>
      <c r="M31" s="36"/>
      <c r="N31" s="36"/>
      <c r="O31" s="36" t="s">
        <v>529</v>
      </c>
    </row>
    <row r="32" spans="1:15" ht="24">
      <c r="A32" s="220"/>
      <c r="B32" s="223"/>
      <c r="C32" s="233"/>
      <c r="D32" s="234"/>
      <c r="E32" s="36">
        <v>2</v>
      </c>
      <c r="F32" s="36"/>
      <c r="G32" s="36"/>
      <c r="H32" s="36" t="s">
        <v>293</v>
      </c>
      <c r="I32" s="37" t="s">
        <v>193</v>
      </c>
      <c r="J32" s="36"/>
      <c r="K32" s="36"/>
      <c r="L32" s="36"/>
      <c r="M32" s="36"/>
      <c r="N32" s="36"/>
      <c r="O32" s="36" t="s">
        <v>531</v>
      </c>
    </row>
    <row r="33" spans="1:15" ht="48">
      <c r="A33" s="220"/>
      <c r="B33" s="223"/>
      <c r="C33" s="235"/>
      <c r="D33" s="236"/>
      <c r="E33" s="36">
        <v>3</v>
      </c>
      <c r="F33" s="36"/>
      <c r="G33" s="36"/>
      <c r="H33" s="36" t="s">
        <v>293</v>
      </c>
      <c r="I33" s="37" t="s">
        <v>193</v>
      </c>
      <c r="J33" s="36"/>
      <c r="K33" s="36"/>
      <c r="L33" s="36"/>
      <c r="M33" s="36"/>
      <c r="N33" s="36"/>
      <c r="O33" s="36" t="s">
        <v>530</v>
      </c>
    </row>
    <row r="34" spans="1:15">
      <c r="A34" s="220"/>
      <c r="B34" s="223"/>
      <c r="C34" s="231" t="s">
        <v>118</v>
      </c>
      <c r="D34" s="232"/>
      <c r="E34" s="36">
        <v>1</v>
      </c>
      <c r="F34" s="36"/>
      <c r="G34" s="36"/>
      <c r="H34" s="36" t="s">
        <v>293</v>
      </c>
      <c r="I34" s="36" t="s">
        <v>507</v>
      </c>
      <c r="J34" s="36"/>
      <c r="K34" s="36"/>
      <c r="L34" s="36"/>
      <c r="M34" s="36"/>
      <c r="N34" s="36"/>
      <c r="O34" s="36"/>
    </row>
    <row r="35" spans="1:15">
      <c r="A35" s="220"/>
      <c r="B35" s="223"/>
      <c r="C35" s="233"/>
      <c r="D35" s="234"/>
      <c r="E35" s="36">
        <v>2</v>
      </c>
      <c r="F35" s="36"/>
      <c r="G35" s="36"/>
      <c r="H35" s="36" t="s">
        <v>293</v>
      </c>
      <c r="I35" s="36" t="s">
        <v>507</v>
      </c>
      <c r="J35" s="36"/>
      <c r="K35" s="36"/>
      <c r="L35" s="36"/>
      <c r="M35" s="36"/>
      <c r="N35" s="36"/>
      <c r="O35" s="36"/>
    </row>
    <row r="36" spans="1:15">
      <c r="A36" s="220"/>
      <c r="B36" s="223"/>
      <c r="C36" s="233"/>
      <c r="D36" s="234"/>
      <c r="E36" s="36">
        <v>3</v>
      </c>
      <c r="F36" s="36"/>
      <c r="G36" s="36"/>
      <c r="H36" s="36" t="s">
        <v>293</v>
      </c>
      <c r="I36" s="36" t="s">
        <v>507</v>
      </c>
      <c r="J36" s="36"/>
      <c r="K36" s="36"/>
      <c r="L36" s="36"/>
      <c r="M36" s="36"/>
      <c r="N36" s="36"/>
      <c r="O36" s="36"/>
    </row>
    <row r="37" spans="1:15">
      <c r="A37" s="220"/>
      <c r="B37" s="223"/>
      <c r="C37" s="233"/>
      <c r="D37" s="234"/>
      <c r="E37" s="36">
        <v>4</v>
      </c>
      <c r="F37" s="36"/>
      <c r="G37" s="36"/>
      <c r="H37" s="36" t="s">
        <v>293</v>
      </c>
      <c r="I37" s="36" t="s">
        <v>293</v>
      </c>
      <c r="J37" s="36"/>
      <c r="K37" s="36"/>
      <c r="L37" s="36"/>
      <c r="M37" s="36"/>
      <c r="N37" s="36"/>
      <c r="O37" s="36"/>
    </row>
    <row r="38" spans="1:15">
      <c r="A38" s="220"/>
      <c r="B38" s="223"/>
      <c r="C38" s="233"/>
      <c r="D38" s="234"/>
      <c r="E38" s="36">
        <v>5</v>
      </c>
      <c r="F38" s="36"/>
      <c r="G38" s="36"/>
      <c r="H38" s="36" t="s">
        <v>293</v>
      </c>
      <c r="I38" s="36" t="s">
        <v>293</v>
      </c>
      <c r="J38" s="36"/>
      <c r="K38" s="36"/>
      <c r="L38" s="36"/>
      <c r="M38" s="36"/>
      <c r="N38" s="36"/>
      <c r="O38" s="36"/>
    </row>
    <row r="39" spans="1:15">
      <c r="A39" s="220"/>
      <c r="B39" s="223"/>
      <c r="C39" s="235"/>
      <c r="D39" s="236"/>
      <c r="E39" s="36">
        <v>6</v>
      </c>
      <c r="F39" s="36"/>
      <c r="G39" s="36"/>
      <c r="H39" s="36" t="s">
        <v>293</v>
      </c>
      <c r="I39" s="36" t="s">
        <v>507</v>
      </c>
      <c r="J39" s="36"/>
      <c r="K39" s="36"/>
      <c r="L39" s="36"/>
      <c r="M39" s="36"/>
      <c r="N39" s="36"/>
      <c r="O39" s="36"/>
    </row>
    <row r="40" spans="1:15">
      <c r="A40" s="220"/>
      <c r="B40" s="223"/>
      <c r="C40" s="231" t="s">
        <v>119</v>
      </c>
      <c r="D40" s="232"/>
      <c r="E40" s="36">
        <v>1</v>
      </c>
      <c r="F40" s="36"/>
      <c r="G40" s="36"/>
      <c r="H40" s="36" t="s">
        <v>293</v>
      </c>
      <c r="I40" s="36" t="s">
        <v>507</v>
      </c>
      <c r="J40" s="36"/>
      <c r="K40" s="36"/>
      <c r="L40" s="36"/>
      <c r="M40" s="36"/>
      <c r="N40" s="36"/>
      <c r="O40" s="36"/>
    </row>
    <row r="41" spans="1:15">
      <c r="A41" s="221"/>
      <c r="B41" s="224"/>
      <c r="C41" s="235"/>
      <c r="D41" s="236"/>
      <c r="E41" s="36">
        <v>2</v>
      </c>
      <c r="F41" s="36"/>
      <c r="G41" s="36"/>
      <c r="H41" s="36" t="s">
        <v>293</v>
      </c>
      <c r="I41" s="36" t="s">
        <v>507</v>
      </c>
      <c r="J41" s="36"/>
      <c r="K41" s="36"/>
      <c r="L41" s="36"/>
      <c r="M41" s="36"/>
      <c r="N41" s="36"/>
      <c r="O41" s="36"/>
    </row>
    <row r="42" spans="1:15">
      <c r="A42" s="216">
        <v>3</v>
      </c>
      <c r="B42" s="228" t="s">
        <v>114</v>
      </c>
      <c r="C42" s="239" t="s">
        <v>120</v>
      </c>
      <c r="D42" s="240"/>
      <c r="E42" s="23">
        <v>1</v>
      </c>
      <c r="F42" s="23"/>
      <c r="G42" s="23"/>
      <c r="H42" s="23" t="s">
        <v>293</v>
      </c>
      <c r="I42" s="23" t="s">
        <v>507</v>
      </c>
      <c r="J42" s="23"/>
      <c r="K42" s="23"/>
      <c r="L42" s="23"/>
      <c r="M42" s="23"/>
      <c r="N42" s="23"/>
      <c r="O42" s="23"/>
    </row>
    <row r="43" spans="1:15">
      <c r="A43" s="227"/>
      <c r="B43" s="229"/>
      <c r="C43" s="243"/>
      <c r="D43" s="244"/>
      <c r="E43" s="23">
        <v>2</v>
      </c>
      <c r="F43" s="23"/>
      <c r="G43" s="23"/>
      <c r="H43" s="23" t="s">
        <v>293</v>
      </c>
      <c r="I43" s="23" t="s">
        <v>507</v>
      </c>
      <c r="J43" s="23"/>
      <c r="K43" s="23"/>
      <c r="L43" s="23"/>
      <c r="M43" s="23"/>
      <c r="N43" s="23"/>
      <c r="O43" s="23"/>
    </row>
    <row r="44" spans="1:15">
      <c r="A44" s="227"/>
      <c r="B44" s="229"/>
      <c r="C44" s="239" t="s">
        <v>86</v>
      </c>
      <c r="D44" s="240"/>
      <c r="E44" s="23">
        <v>1</v>
      </c>
      <c r="F44" s="23"/>
      <c r="G44" s="23"/>
      <c r="H44" s="23" t="s">
        <v>293</v>
      </c>
      <c r="I44" s="23" t="s">
        <v>507</v>
      </c>
      <c r="J44" s="23"/>
      <c r="K44" s="23"/>
      <c r="L44" s="23"/>
      <c r="M44" s="23"/>
      <c r="N44" s="23"/>
      <c r="O44" s="23"/>
    </row>
    <row r="45" spans="1:15">
      <c r="A45" s="227"/>
      <c r="B45" s="229"/>
      <c r="C45" s="241"/>
      <c r="D45" s="242"/>
      <c r="E45" s="23">
        <v>2</v>
      </c>
      <c r="F45" s="23"/>
      <c r="G45" s="23"/>
      <c r="H45" s="23" t="s">
        <v>293</v>
      </c>
      <c r="I45" s="23" t="s">
        <v>507</v>
      </c>
      <c r="J45" s="23"/>
      <c r="K45" s="23"/>
      <c r="L45" s="23"/>
      <c r="M45" s="23"/>
      <c r="N45" s="23"/>
      <c r="O45" s="23"/>
    </row>
    <row r="46" spans="1:15">
      <c r="A46" s="227"/>
      <c r="B46" s="229"/>
      <c r="C46" s="241"/>
      <c r="D46" s="242"/>
      <c r="E46" s="23">
        <v>3</v>
      </c>
      <c r="F46" s="23"/>
      <c r="G46" s="23"/>
      <c r="H46" s="23" t="s">
        <v>293</v>
      </c>
      <c r="I46" s="23" t="s">
        <v>507</v>
      </c>
      <c r="J46" s="23"/>
      <c r="K46" s="23"/>
      <c r="L46" s="23"/>
      <c r="M46" s="23"/>
      <c r="N46" s="23"/>
      <c r="O46" s="23"/>
    </row>
    <row r="47" spans="1:15">
      <c r="A47" s="227"/>
      <c r="B47" s="229"/>
      <c r="C47" s="241"/>
      <c r="D47" s="242"/>
      <c r="E47" s="23">
        <v>4</v>
      </c>
      <c r="F47" s="23"/>
      <c r="G47" s="23"/>
      <c r="H47" s="23" t="s">
        <v>293</v>
      </c>
      <c r="I47" s="23" t="s">
        <v>507</v>
      </c>
      <c r="J47" s="23"/>
      <c r="K47" s="23"/>
      <c r="L47" s="23"/>
      <c r="M47" s="23"/>
      <c r="N47" s="23"/>
      <c r="O47" s="23"/>
    </row>
    <row r="48" spans="1:15">
      <c r="A48" s="227"/>
      <c r="B48" s="229"/>
      <c r="C48" s="241"/>
      <c r="D48" s="242"/>
      <c r="E48" s="23">
        <v>5</v>
      </c>
      <c r="F48" s="23"/>
      <c r="G48" s="23"/>
      <c r="H48" s="23" t="s">
        <v>293</v>
      </c>
      <c r="I48" s="23" t="s">
        <v>507</v>
      </c>
      <c r="J48" s="23"/>
      <c r="K48" s="23"/>
      <c r="L48" s="23"/>
      <c r="M48" s="23"/>
      <c r="N48" s="23"/>
      <c r="O48" s="23"/>
    </row>
    <row r="49" spans="1:15">
      <c r="A49" s="227"/>
      <c r="B49" s="229"/>
      <c r="C49" s="241"/>
      <c r="D49" s="242"/>
      <c r="E49" s="23">
        <v>6</v>
      </c>
      <c r="F49" s="23"/>
      <c r="G49" s="23"/>
      <c r="H49" s="23" t="s">
        <v>293</v>
      </c>
      <c r="I49" s="23" t="s">
        <v>507</v>
      </c>
      <c r="J49" s="23"/>
      <c r="K49" s="23"/>
      <c r="L49" s="23"/>
      <c r="M49" s="23"/>
      <c r="N49" s="23"/>
      <c r="O49" s="23"/>
    </row>
    <row r="50" spans="1:15">
      <c r="A50" s="227"/>
      <c r="B50" s="229"/>
      <c r="C50" s="241"/>
      <c r="D50" s="242"/>
      <c r="E50" s="23">
        <v>7</v>
      </c>
      <c r="F50" s="23"/>
      <c r="G50" s="23"/>
      <c r="H50" s="23" t="s">
        <v>293</v>
      </c>
      <c r="I50" s="23" t="s">
        <v>507</v>
      </c>
      <c r="J50" s="23"/>
      <c r="K50" s="23"/>
      <c r="L50" s="23"/>
      <c r="M50" s="23"/>
      <c r="N50" s="23"/>
      <c r="O50" s="23"/>
    </row>
    <row r="51" spans="1:15">
      <c r="A51" s="227"/>
      <c r="B51" s="229"/>
      <c r="C51" s="241"/>
      <c r="D51" s="242"/>
      <c r="E51" s="23">
        <v>8</v>
      </c>
      <c r="F51" s="23"/>
      <c r="G51" s="23"/>
      <c r="H51" s="23" t="s">
        <v>293</v>
      </c>
      <c r="I51" s="23" t="s">
        <v>507</v>
      </c>
      <c r="J51" s="23"/>
      <c r="K51" s="23"/>
      <c r="L51" s="23"/>
      <c r="M51" s="23"/>
      <c r="N51" s="23"/>
      <c r="O51" s="23"/>
    </row>
    <row r="52" spans="1:15">
      <c r="A52" s="227"/>
      <c r="B52" s="229"/>
      <c r="C52" s="241"/>
      <c r="D52" s="242"/>
      <c r="E52" s="23">
        <v>9</v>
      </c>
      <c r="F52" s="23"/>
      <c r="G52" s="23"/>
      <c r="H52" s="23" t="s">
        <v>293</v>
      </c>
      <c r="I52" s="23" t="s">
        <v>507</v>
      </c>
      <c r="J52" s="23"/>
      <c r="K52" s="23"/>
      <c r="L52" s="23"/>
      <c r="M52" s="23"/>
      <c r="N52" s="23"/>
      <c r="O52" s="23"/>
    </row>
    <row r="53" spans="1:15">
      <c r="A53" s="227"/>
      <c r="B53" s="229"/>
      <c r="C53" s="241"/>
      <c r="D53" s="242"/>
      <c r="E53" s="23">
        <v>10</v>
      </c>
      <c r="F53" s="23"/>
      <c r="G53" s="23"/>
      <c r="H53" s="23" t="s">
        <v>293</v>
      </c>
      <c r="I53" s="23" t="s">
        <v>507</v>
      </c>
      <c r="J53" s="23"/>
      <c r="K53" s="23"/>
      <c r="L53" s="23"/>
      <c r="M53" s="23"/>
      <c r="N53" s="23"/>
      <c r="O53" s="23"/>
    </row>
    <row r="54" spans="1:15">
      <c r="A54" s="227"/>
      <c r="B54" s="229"/>
      <c r="C54" s="241"/>
      <c r="D54" s="242"/>
      <c r="E54" s="23">
        <v>11</v>
      </c>
      <c r="F54" s="23"/>
      <c r="G54" s="23"/>
      <c r="H54" s="23" t="s">
        <v>293</v>
      </c>
      <c r="I54" s="23" t="s">
        <v>507</v>
      </c>
      <c r="J54" s="23"/>
      <c r="K54" s="23"/>
      <c r="L54" s="23"/>
      <c r="M54" s="23"/>
      <c r="N54" s="23"/>
      <c r="O54" s="23"/>
    </row>
    <row r="55" spans="1:15">
      <c r="A55" s="227"/>
      <c r="B55" s="229"/>
      <c r="C55" s="241"/>
      <c r="D55" s="242"/>
      <c r="E55" s="23">
        <v>12</v>
      </c>
      <c r="F55" s="23"/>
      <c r="G55" s="23"/>
      <c r="H55" s="23" t="s">
        <v>507</v>
      </c>
      <c r="I55" s="23" t="s">
        <v>507</v>
      </c>
      <c r="J55" s="23"/>
      <c r="K55" s="23"/>
      <c r="L55" s="23"/>
      <c r="M55" s="23"/>
      <c r="N55" s="23"/>
      <c r="O55" s="23" t="s">
        <v>533</v>
      </c>
    </row>
    <row r="56" spans="1:15">
      <c r="A56" s="227"/>
      <c r="B56" s="229"/>
      <c r="C56" s="241"/>
      <c r="D56" s="242"/>
      <c r="E56" s="23">
        <v>13</v>
      </c>
      <c r="F56" s="23"/>
      <c r="G56" s="23"/>
      <c r="H56" s="23" t="s">
        <v>507</v>
      </c>
      <c r="I56" s="23" t="s">
        <v>507</v>
      </c>
      <c r="J56" s="23"/>
      <c r="K56" s="23"/>
      <c r="L56" s="23"/>
      <c r="M56" s="23"/>
      <c r="N56" s="23"/>
      <c r="O56" s="23" t="s">
        <v>533</v>
      </c>
    </row>
    <row r="57" spans="1:15">
      <c r="A57" s="227"/>
      <c r="B57" s="229"/>
      <c r="C57" s="241"/>
      <c r="D57" s="242"/>
      <c r="E57" s="23">
        <v>14</v>
      </c>
      <c r="F57" s="23"/>
      <c r="G57" s="23"/>
      <c r="H57" s="23" t="s">
        <v>293</v>
      </c>
      <c r="I57" s="23" t="s">
        <v>293</v>
      </c>
      <c r="J57" s="23"/>
      <c r="K57" s="23"/>
      <c r="L57" s="23"/>
      <c r="M57" s="23"/>
      <c r="N57" s="23"/>
      <c r="O57" s="23"/>
    </row>
    <row r="58" spans="1:15">
      <c r="A58" s="227"/>
      <c r="B58" s="229"/>
      <c r="C58" s="241"/>
      <c r="D58" s="242"/>
      <c r="E58" s="23">
        <v>15</v>
      </c>
      <c r="F58" s="23"/>
      <c r="G58" s="23"/>
      <c r="H58" s="23" t="s">
        <v>293</v>
      </c>
      <c r="I58" s="23" t="s">
        <v>507</v>
      </c>
      <c r="J58" s="23"/>
      <c r="K58" s="23"/>
      <c r="L58" s="23"/>
      <c r="M58" s="23"/>
      <c r="N58" s="23"/>
      <c r="O58" s="23"/>
    </row>
    <row r="59" spans="1:15">
      <c r="A59" s="227"/>
      <c r="B59" s="229"/>
      <c r="C59" s="241"/>
      <c r="D59" s="242"/>
      <c r="E59" s="23">
        <v>16</v>
      </c>
      <c r="F59" s="23"/>
      <c r="G59" s="23"/>
      <c r="H59" s="23" t="s">
        <v>293</v>
      </c>
      <c r="I59" s="23" t="s">
        <v>507</v>
      </c>
      <c r="J59" s="23"/>
      <c r="K59" s="23"/>
      <c r="L59" s="23"/>
      <c r="M59" s="23"/>
      <c r="N59" s="23"/>
      <c r="O59" s="23"/>
    </row>
    <row r="60" spans="1:15">
      <c r="A60" s="227"/>
      <c r="B60" s="229"/>
      <c r="C60" s="241"/>
      <c r="D60" s="242"/>
      <c r="E60" s="23">
        <v>17</v>
      </c>
      <c r="F60" s="23"/>
      <c r="G60" s="23"/>
      <c r="H60" s="23" t="s">
        <v>293</v>
      </c>
      <c r="I60" s="23" t="s">
        <v>507</v>
      </c>
      <c r="J60" s="23"/>
      <c r="K60" s="23"/>
      <c r="L60" s="23"/>
      <c r="M60" s="23"/>
      <c r="N60" s="23"/>
      <c r="O60" s="23"/>
    </row>
    <row r="61" spans="1:15">
      <c r="A61" s="227"/>
      <c r="B61" s="229"/>
      <c r="C61" s="241"/>
      <c r="D61" s="242"/>
      <c r="E61" s="23">
        <v>18</v>
      </c>
      <c r="F61" s="23"/>
      <c r="G61" s="23"/>
      <c r="H61" s="23" t="s">
        <v>293</v>
      </c>
      <c r="I61" s="23" t="s">
        <v>507</v>
      </c>
      <c r="J61" s="23"/>
      <c r="K61" s="23"/>
      <c r="L61" s="23"/>
      <c r="M61" s="23"/>
      <c r="N61" s="23"/>
      <c r="O61" s="23"/>
    </row>
    <row r="62" spans="1:15">
      <c r="A62" s="227"/>
      <c r="B62" s="229"/>
      <c r="C62" s="243"/>
      <c r="D62" s="244"/>
      <c r="E62" s="23">
        <v>19</v>
      </c>
      <c r="F62" s="23"/>
      <c r="G62" s="23"/>
      <c r="H62" s="23" t="s">
        <v>293</v>
      </c>
      <c r="I62" s="23" t="s">
        <v>507</v>
      </c>
      <c r="J62" s="23"/>
      <c r="K62" s="23"/>
      <c r="L62" s="23"/>
      <c r="M62" s="23"/>
      <c r="N62" s="23"/>
      <c r="O62" s="23"/>
    </row>
    <row r="63" spans="1:15">
      <c r="A63" s="227"/>
      <c r="B63" s="229"/>
      <c r="C63" s="239" t="s">
        <v>117</v>
      </c>
      <c r="D63" s="240"/>
      <c r="E63" s="23">
        <v>1</v>
      </c>
      <c r="F63" s="23"/>
      <c r="G63" s="23"/>
      <c r="H63" s="23" t="s">
        <v>293</v>
      </c>
      <c r="I63" s="23" t="s">
        <v>507</v>
      </c>
      <c r="J63" s="23"/>
      <c r="K63" s="23"/>
      <c r="L63" s="23"/>
      <c r="M63" s="23"/>
      <c r="N63" s="23"/>
      <c r="O63" s="23" t="s">
        <v>534</v>
      </c>
    </row>
    <row r="64" spans="1:15">
      <c r="A64" s="227"/>
      <c r="B64" s="229"/>
      <c r="C64" s="241"/>
      <c r="D64" s="242"/>
      <c r="E64" s="23">
        <v>2</v>
      </c>
      <c r="F64" s="23"/>
      <c r="G64" s="23"/>
      <c r="H64" s="23" t="s">
        <v>293</v>
      </c>
      <c r="I64" s="23" t="s">
        <v>507</v>
      </c>
      <c r="J64" s="23"/>
      <c r="K64" s="23"/>
      <c r="L64" s="23"/>
      <c r="M64" s="23"/>
      <c r="N64" s="23"/>
      <c r="O64" s="23" t="s">
        <v>535</v>
      </c>
    </row>
    <row r="65" spans="1:15" ht="48">
      <c r="A65" s="227"/>
      <c r="B65" s="229"/>
      <c r="C65" s="243"/>
      <c r="D65" s="244"/>
      <c r="E65" s="23">
        <v>3</v>
      </c>
      <c r="F65" s="23"/>
      <c r="G65" s="23"/>
      <c r="H65" s="26" t="s">
        <v>193</v>
      </c>
      <c r="I65" s="23" t="s">
        <v>507</v>
      </c>
      <c r="J65" s="23"/>
      <c r="K65" s="23"/>
      <c r="L65" s="23"/>
      <c r="M65" s="23"/>
      <c r="N65" s="23"/>
      <c r="O65" s="23" t="s">
        <v>536</v>
      </c>
    </row>
    <row r="66" spans="1:15">
      <c r="A66" s="227"/>
      <c r="B66" s="229"/>
      <c r="C66" s="239" t="s">
        <v>121</v>
      </c>
      <c r="D66" s="240"/>
      <c r="E66" s="23">
        <v>1</v>
      </c>
      <c r="F66" s="23"/>
      <c r="G66" s="23"/>
      <c r="H66" s="23" t="s">
        <v>293</v>
      </c>
      <c r="I66" s="23" t="s">
        <v>507</v>
      </c>
      <c r="J66" s="23"/>
      <c r="K66" s="23"/>
      <c r="L66" s="23"/>
      <c r="M66" s="23"/>
      <c r="N66" s="23"/>
      <c r="O66" s="23"/>
    </row>
    <row r="67" spans="1:15">
      <c r="A67" s="227"/>
      <c r="B67" s="229"/>
      <c r="C67" s="241"/>
      <c r="D67" s="242"/>
      <c r="E67" s="23">
        <v>2</v>
      </c>
      <c r="F67" s="23"/>
      <c r="G67" s="23"/>
      <c r="H67" s="23" t="s">
        <v>293</v>
      </c>
      <c r="I67" s="23" t="s">
        <v>507</v>
      </c>
      <c r="J67" s="23"/>
      <c r="K67" s="23"/>
      <c r="L67" s="23"/>
      <c r="M67" s="23"/>
      <c r="N67" s="23"/>
      <c r="O67" s="23"/>
    </row>
    <row r="68" spans="1:15">
      <c r="A68" s="227"/>
      <c r="B68" s="229"/>
      <c r="C68" s="241"/>
      <c r="D68" s="242"/>
      <c r="E68" s="23">
        <v>3</v>
      </c>
      <c r="F68" s="23"/>
      <c r="G68" s="23"/>
      <c r="H68" s="23" t="s">
        <v>293</v>
      </c>
      <c r="I68" s="23" t="s">
        <v>507</v>
      </c>
      <c r="J68" s="23"/>
      <c r="K68" s="23"/>
      <c r="L68" s="23"/>
      <c r="M68" s="23"/>
      <c r="N68" s="23"/>
      <c r="O68" s="23"/>
    </row>
    <row r="69" spans="1:15">
      <c r="A69" s="227"/>
      <c r="B69" s="229"/>
      <c r="C69" s="241"/>
      <c r="D69" s="242"/>
      <c r="E69" s="23">
        <v>4</v>
      </c>
      <c r="F69" s="23"/>
      <c r="G69" s="23"/>
      <c r="H69" s="23" t="s">
        <v>293</v>
      </c>
      <c r="I69" s="23" t="s">
        <v>507</v>
      </c>
      <c r="J69" s="23"/>
      <c r="K69" s="23"/>
      <c r="L69" s="23"/>
      <c r="M69" s="23"/>
      <c r="N69" s="23"/>
      <c r="O69" s="23"/>
    </row>
    <row r="70" spans="1:15">
      <c r="A70" s="227"/>
      <c r="B70" s="229"/>
      <c r="C70" s="241"/>
      <c r="D70" s="242"/>
      <c r="E70" s="23">
        <v>5</v>
      </c>
      <c r="F70" s="23"/>
      <c r="G70" s="23"/>
      <c r="H70" s="23" t="s">
        <v>293</v>
      </c>
      <c r="I70" s="23" t="s">
        <v>507</v>
      </c>
      <c r="J70" s="23"/>
      <c r="K70" s="23"/>
      <c r="L70" s="23"/>
      <c r="M70" s="23"/>
      <c r="N70" s="23"/>
      <c r="O70" s="23"/>
    </row>
    <row r="71" spans="1:15">
      <c r="A71" s="227"/>
      <c r="B71" s="229"/>
      <c r="C71" s="241"/>
      <c r="D71" s="242"/>
      <c r="E71" s="23">
        <v>6</v>
      </c>
      <c r="F71" s="23"/>
      <c r="G71" s="23"/>
      <c r="H71" s="23" t="s">
        <v>507</v>
      </c>
      <c r="I71" s="23" t="s">
        <v>507</v>
      </c>
      <c r="J71" s="23"/>
      <c r="K71" s="23"/>
      <c r="L71" s="23"/>
      <c r="M71" s="23"/>
      <c r="N71" s="23"/>
      <c r="O71" s="23" t="s">
        <v>532</v>
      </c>
    </row>
    <row r="72" spans="1:15">
      <c r="A72" s="227"/>
      <c r="B72" s="229"/>
      <c r="C72" s="243"/>
      <c r="D72" s="244"/>
      <c r="E72" s="23">
        <v>7</v>
      </c>
      <c r="F72" s="23"/>
      <c r="G72" s="23"/>
      <c r="H72" s="23" t="s">
        <v>507</v>
      </c>
      <c r="I72" s="23" t="s">
        <v>507</v>
      </c>
      <c r="J72" s="23"/>
      <c r="K72" s="23"/>
      <c r="L72" s="23"/>
      <c r="M72" s="23"/>
      <c r="N72" s="23"/>
      <c r="O72" s="23" t="s">
        <v>532</v>
      </c>
    </row>
    <row r="73" spans="1:15">
      <c r="A73" s="227"/>
      <c r="B73" s="229"/>
      <c r="C73" s="239" t="s">
        <v>122</v>
      </c>
      <c r="D73" s="240"/>
      <c r="E73" s="23">
        <v>1</v>
      </c>
      <c r="F73" s="23"/>
      <c r="G73" s="23"/>
      <c r="H73" s="23" t="s">
        <v>293</v>
      </c>
      <c r="I73" s="23" t="s">
        <v>507</v>
      </c>
      <c r="J73" s="23"/>
      <c r="K73" s="23"/>
      <c r="L73" s="23"/>
      <c r="M73" s="23" t="s">
        <v>293</v>
      </c>
      <c r="N73" s="23"/>
      <c r="O73" s="23"/>
    </row>
    <row r="74" spans="1:15">
      <c r="A74" s="227"/>
      <c r="B74" s="229"/>
      <c r="C74" s="241"/>
      <c r="D74" s="242"/>
      <c r="E74" s="23">
        <v>2</v>
      </c>
      <c r="F74" s="23"/>
      <c r="G74" s="23"/>
      <c r="H74" s="23" t="s">
        <v>507</v>
      </c>
      <c r="I74" s="23" t="s">
        <v>507</v>
      </c>
      <c r="J74" s="23"/>
      <c r="K74" s="23"/>
      <c r="L74" s="23"/>
      <c r="M74" s="23" t="s">
        <v>507</v>
      </c>
      <c r="N74" s="23"/>
      <c r="O74" s="23"/>
    </row>
    <row r="75" spans="1:15">
      <c r="A75" s="227"/>
      <c r="B75" s="229"/>
      <c r="C75" s="241"/>
      <c r="D75" s="242"/>
      <c r="E75" s="23">
        <v>3</v>
      </c>
      <c r="F75" s="23"/>
      <c r="G75" s="23"/>
      <c r="H75" s="23" t="s">
        <v>293</v>
      </c>
      <c r="I75" s="23" t="s">
        <v>507</v>
      </c>
      <c r="J75" s="23"/>
      <c r="K75" s="23"/>
      <c r="L75" s="23"/>
      <c r="M75" s="23" t="s">
        <v>507</v>
      </c>
      <c r="N75" s="23"/>
      <c r="O75" s="23"/>
    </row>
    <row r="76" spans="1:15">
      <c r="A76" s="227"/>
      <c r="B76" s="229"/>
      <c r="C76" s="241"/>
      <c r="D76" s="242"/>
      <c r="E76" s="23">
        <v>4</v>
      </c>
      <c r="F76" s="23"/>
      <c r="G76" s="23"/>
      <c r="H76" s="23" t="s">
        <v>507</v>
      </c>
      <c r="I76" s="23" t="s">
        <v>507</v>
      </c>
      <c r="J76" s="23"/>
      <c r="K76" s="23"/>
      <c r="L76" s="23"/>
      <c r="M76" s="23" t="s">
        <v>293</v>
      </c>
      <c r="N76" s="23"/>
      <c r="O76" s="23"/>
    </row>
    <row r="77" spans="1:15">
      <c r="A77" s="227"/>
      <c r="B77" s="229"/>
      <c r="C77" s="241"/>
      <c r="D77" s="242"/>
      <c r="E77" s="23">
        <v>5</v>
      </c>
      <c r="F77" s="23"/>
      <c r="G77" s="23"/>
      <c r="H77" s="23" t="s">
        <v>507</v>
      </c>
      <c r="I77" s="23" t="s">
        <v>507</v>
      </c>
      <c r="J77" s="23"/>
      <c r="K77" s="23"/>
      <c r="L77" s="23"/>
      <c r="M77" s="23" t="s">
        <v>293</v>
      </c>
      <c r="N77" s="23"/>
      <c r="O77" s="23"/>
    </row>
    <row r="78" spans="1:15">
      <c r="A78" s="227"/>
      <c r="B78" s="229"/>
      <c r="C78" s="241"/>
      <c r="D78" s="242"/>
      <c r="E78" s="23">
        <v>6</v>
      </c>
      <c r="F78" s="23"/>
      <c r="G78" s="23"/>
      <c r="H78" s="23" t="s">
        <v>507</v>
      </c>
      <c r="I78" s="23" t="s">
        <v>507</v>
      </c>
      <c r="J78" s="23"/>
      <c r="K78" s="23"/>
      <c r="L78" s="23"/>
      <c r="M78" s="23" t="s">
        <v>293</v>
      </c>
      <c r="N78" s="23"/>
      <c r="O78" s="23"/>
    </row>
    <row r="79" spans="1:15">
      <c r="A79" s="227"/>
      <c r="B79" s="229"/>
      <c r="C79" s="243"/>
      <c r="D79" s="244"/>
      <c r="E79" s="23">
        <v>7</v>
      </c>
      <c r="F79" s="23"/>
      <c r="G79" s="23"/>
      <c r="H79" s="23" t="s">
        <v>507</v>
      </c>
      <c r="I79" s="23" t="s">
        <v>507</v>
      </c>
      <c r="J79" s="23"/>
      <c r="K79" s="23"/>
      <c r="L79" s="23"/>
      <c r="M79" s="23" t="s">
        <v>293</v>
      </c>
      <c r="N79" s="23"/>
      <c r="O79" s="23"/>
    </row>
    <row r="80" spans="1:15">
      <c r="A80" s="217"/>
      <c r="B80" s="230"/>
      <c r="C80" s="237" t="s">
        <v>119</v>
      </c>
      <c r="D80" s="238"/>
      <c r="E80" s="23">
        <v>1</v>
      </c>
      <c r="F80" s="23"/>
      <c r="G80" s="23"/>
      <c r="H80" s="23" t="s">
        <v>293</v>
      </c>
      <c r="I80" s="23" t="s">
        <v>507</v>
      </c>
      <c r="J80" s="23"/>
      <c r="K80" s="23"/>
      <c r="L80" s="23"/>
      <c r="M80" s="23"/>
      <c r="N80" s="23"/>
      <c r="O80" s="23"/>
    </row>
    <row r="81" spans="1:15">
      <c r="A81" s="249" t="s">
        <v>108</v>
      </c>
      <c r="B81" s="250" t="s">
        <v>115</v>
      </c>
      <c r="C81" s="225" t="s">
        <v>522</v>
      </c>
      <c r="D81" s="226"/>
      <c r="E81" s="36">
        <v>1</v>
      </c>
      <c r="F81" s="36"/>
      <c r="G81" s="36"/>
      <c r="H81" s="36" t="s">
        <v>293</v>
      </c>
      <c r="I81" s="36" t="s">
        <v>507</v>
      </c>
      <c r="J81" s="36"/>
      <c r="K81" s="36"/>
      <c r="L81" s="36"/>
      <c r="M81" s="36"/>
      <c r="N81" s="36"/>
      <c r="O81" s="36"/>
    </row>
    <row r="82" spans="1:15">
      <c r="A82" s="249"/>
      <c r="B82" s="250"/>
      <c r="C82" s="231" t="s">
        <v>123</v>
      </c>
      <c r="D82" s="232"/>
      <c r="E82" s="36">
        <v>1</v>
      </c>
      <c r="F82" s="36"/>
      <c r="G82" s="36"/>
      <c r="H82" s="36" t="s">
        <v>293</v>
      </c>
      <c r="I82" s="36" t="s">
        <v>507</v>
      </c>
      <c r="J82" s="36"/>
      <c r="K82" s="36"/>
      <c r="L82" s="36"/>
      <c r="M82" s="36"/>
      <c r="N82" s="36"/>
      <c r="O82" s="36"/>
    </row>
    <row r="83" spans="1:15">
      <c r="A83" s="249"/>
      <c r="B83" s="250"/>
      <c r="C83" s="233"/>
      <c r="D83" s="234"/>
      <c r="E83" s="36">
        <v>2</v>
      </c>
      <c r="F83" s="36"/>
      <c r="G83" s="36"/>
      <c r="H83" s="36" t="s">
        <v>293</v>
      </c>
      <c r="I83" s="36" t="s">
        <v>507</v>
      </c>
      <c r="J83" s="36"/>
      <c r="K83" s="36"/>
      <c r="L83" s="36"/>
      <c r="M83" s="36"/>
      <c r="N83" s="36"/>
      <c r="O83" s="36"/>
    </row>
    <row r="84" spans="1:15">
      <c r="A84" s="249"/>
      <c r="B84" s="250"/>
      <c r="C84" s="233"/>
      <c r="D84" s="234"/>
      <c r="E84" s="36">
        <v>3</v>
      </c>
      <c r="F84" s="36"/>
      <c r="G84" s="36"/>
      <c r="H84" s="36" t="s">
        <v>293</v>
      </c>
      <c r="I84" s="36" t="s">
        <v>507</v>
      </c>
      <c r="J84" s="36"/>
      <c r="K84" s="36"/>
      <c r="L84" s="36"/>
      <c r="M84" s="36"/>
      <c r="N84" s="36"/>
      <c r="O84" s="36"/>
    </row>
    <row r="85" spans="1:15">
      <c r="A85" s="249"/>
      <c r="B85" s="250"/>
      <c r="C85" s="233"/>
      <c r="D85" s="234"/>
      <c r="E85" s="36">
        <v>4</v>
      </c>
      <c r="F85" s="36"/>
      <c r="G85" s="36"/>
      <c r="H85" s="36" t="s">
        <v>293</v>
      </c>
      <c r="I85" s="36" t="s">
        <v>507</v>
      </c>
      <c r="J85" s="36"/>
      <c r="K85" s="36"/>
      <c r="L85" s="36"/>
      <c r="M85" s="36"/>
      <c r="N85" s="36"/>
      <c r="O85" s="36"/>
    </row>
    <row r="86" spans="1:15">
      <c r="A86" s="249"/>
      <c r="B86" s="250"/>
      <c r="C86" s="235"/>
      <c r="D86" s="236"/>
      <c r="E86" s="36">
        <v>5</v>
      </c>
      <c r="F86" s="36"/>
      <c r="G86" s="36"/>
      <c r="H86" s="36" t="s">
        <v>293</v>
      </c>
      <c r="I86" s="36" t="s">
        <v>507</v>
      </c>
      <c r="J86" s="36"/>
      <c r="K86" s="36"/>
      <c r="L86" s="36"/>
      <c r="M86" s="36"/>
      <c r="N86" s="36"/>
      <c r="O86" s="36"/>
    </row>
    <row r="87" spans="1:15">
      <c r="A87" s="249"/>
      <c r="B87" s="250"/>
      <c r="C87" s="231" t="s">
        <v>124</v>
      </c>
      <c r="D87" s="232"/>
      <c r="E87" s="36">
        <v>1</v>
      </c>
      <c r="F87" s="36"/>
      <c r="G87" s="36"/>
      <c r="H87" s="36" t="s">
        <v>293</v>
      </c>
      <c r="I87" s="36" t="s">
        <v>507</v>
      </c>
      <c r="J87" s="36"/>
      <c r="K87" s="36"/>
      <c r="L87" s="36"/>
      <c r="M87" s="36"/>
      <c r="N87" s="36"/>
      <c r="O87" s="36"/>
    </row>
    <row r="88" spans="1:15">
      <c r="A88" s="249"/>
      <c r="B88" s="250"/>
      <c r="C88" s="233"/>
      <c r="D88" s="234"/>
      <c r="E88" s="36">
        <v>2</v>
      </c>
      <c r="F88" s="36"/>
      <c r="G88" s="36"/>
      <c r="H88" s="36" t="s">
        <v>293</v>
      </c>
      <c r="I88" s="36" t="s">
        <v>507</v>
      </c>
      <c r="J88" s="36"/>
      <c r="K88" s="36"/>
      <c r="L88" s="36"/>
      <c r="M88" s="36"/>
      <c r="N88" s="36"/>
      <c r="O88" s="36"/>
    </row>
    <row r="89" spans="1:15">
      <c r="A89" s="249"/>
      <c r="B89" s="250"/>
      <c r="C89" s="235"/>
      <c r="D89" s="236"/>
      <c r="E89" s="36">
        <v>3</v>
      </c>
      <c r="F89" s="36"/>
      <c r="G89" s="36"/>
      <c r="H89" s="36" t="s">
        <v>293</v>
      </c>
      <c r="I89" s="36" t="s">
        <v>507</v>
      </c>
      <c r="J89" s="36"/>
      <c r="K89" s="36"/>
      <c r="L89" s="36"/>
      <c r="M89" s="36"/>
      <c r="N89" s="36"/>
      <c r="O89" s="36"/>
    </row>
    <row r="90" spans="1:15">
      <c r="A90" s="249"/>
      <c r="B90" s="250"/>
      <c r="C90" s="225" t="s">
        <v>119</v>
      </c>
      <c r="D90" s="226"/>
      <c r="E90" s="36">
        <v>1</v>
      </c>
      <c r="F90" s="36"/>
      <c r="G90" s="36"/>
      <c r="H90" s="36" t="s">
        <v>293</v>
      </c>
      <c r="I90" s="36" t="s">
        <v>293</v>
      </c>
      <c r="J90" s="36"/>
      <c r="K90" s="36"/>
      <c r="L90" s="36"/>
      <c r="M90" s="36"/>
      <c r="N90" s="36"/>
      <c r="O90" s="36"/>
    </row>
    <row r="91" spans="1:15">
      <c r="A91" s="216" t="s">
        <v>109</v>
      </c>
      <c r="B91" s="228" t="s">
        <v>116</v>
      </c>
      <c r="C91" s="239" t="s">
        <v>127</v>
      </c>
      <c r="D91" s="240"/>
      <c r="E91" s="23">
        <v>1</v>
      </c>
      <c r="F91" s="23"/>
      <c r="G91" s="23"/>
      <c r="H91" s="23" t="s">
        <v>509</v>
      </c>
      <c r="I91" s="23" t="s">
        <v>293</v>
      </c>
      <c r="J91" s="23" t="s">
        <v>293</v>
      </c>
      <c r="K91" s="23" t="s">
        <v>293</v>
      </c>
      <c r="L91" s="23"/>
      <c r="M91" s="23"/>
      <c r="N91" s="23"/>
      <c r="O91" s="23" t="s">
        <v>497</v>
      </c>
    </row>
    <row r="92" spans="1:15">
      <c r="A92" s="227"/>
      <c r="B92" s="229"/>
      <c r="C92" s="241"/>
      <c r="D92" s="242"/>
      <c r="E92" s="23">
        <v>2</v>
      </c>
      <c r="F92" s="23"/>
      <c r="G92" s="23"/>
      <c r="H92" s="23" t="s">
        <v>509</v>
      </c>
      <c r="I92" s="23" t="s">
        <v>293</v>
      </c>
      <c r="J92" s="23" t="s">
        <v>293</v>
      </c>
      <c r="K92" s="23" t="s">
        <v>293</v>
      </c>
      <c r="L92" s="23"/>
      <c r="M92" s="23"/>
      <c r="N92" s="23"/>
      <c r="O92" s="23" t="s">
        <v>500</v>
      </c>
    </row>
    <row r="93" spans="1:15">
      <c r="A93" s="227"/>
      <c r="B93" s="229"/>
      <c r="C93" s="241"/>
      <c r="D93" s="242"/>
      <c r="E93" s="23">
        <v>3</v>
      </c>
      <c r="F93" s="23"/>
      <c r="G93" s="23"/>
      <c r="H93" s="23" t="s">
        <v>509</v>
      </c>
      <c r="I93" s="23" t="s">
        <v>293</v>
      </c>
      <c r="J93" s="23" t="s">
        <v>293</v>
      </c>
      <c r="K93" s="23" t="s">
        <v>293</v>
      </c>
      <c r="L93" s="23"/>
      <c r="M93" s="23"/>
      <c r="N93" s="23"/>
      <c r="O93" s="23" t="s">
        <v>498</v>
      </c>
    </row>
    <row r="94" spans="1:15">
      <c r="A94" s="227"/>
      <c r="B94" s="229"/>
      <c r="C94" s="241"/>
      <c r="D94" s="242"/>
      <c r="E94" s="23">
        <v>4</v>
      </c>
      <c r="F94" s="23"/>
      <c r="G94" s="23"/>
      <c r="H94" s="23" t="s">
        <v>509</v>
      </c>
      <c r="I94" s="23" t="s">
        <v>293</v>
      </c>
      <c r="J94" s="23" t="s">
        <v>293</v>
      </c>
      <c r="K94" s="23" t="s">
        <v>293</v>
      </c>
      <c r="L94" s="23"/>
      <c r="M94" s="23"/>
      <c r="N94" s="23"/>
      <c r="O94" s="23" t="s">
        <v>502</v>
      </c>
    </row>
    <row r="95" spans="1:15">
      <c r="A95" s="227"/>
      <c r="B95" s="229"/>
      <c r="C95" s="241"/>
      <c r="D95" s="242"/>
      <c r="E95" s="23">
        <v>5</v>
      </c>
      <c r="F95" s="23"/>
      <c r="G95" s="23"/>
      <c r="H95" s="23" t="s">
        <v>509</v>
      </c>
      <c r="I95" s="23" t="s">
        <v>293</v>
      </c>
      <c r="J95" s="23" t="s">
        <v>293</v>
      </c>
      <c r="K95" s="23" t="s">
        <v>293</v>
      </c>
      <c r="L95" s="23"/>
      <c r="M95" s="23"/>
      <c r="N95" s="23"/>
      <c r="O95" s="23" t="s">
        <v>499</v>
      </c>
    </row>
    <row r="96" spans="1:15">
      <c r="A96" s="227"/>
      <c r="B96" s="229"/>
      <c r="C96" s="241"/>
      <c r="D96" s="242"/>
      <c r="E96" s="23">
        <v>6</v>
      </c>
      <c r="F96" s="23"/>
      <c r="G96" s="23"/>
      <c r="H96" s="23" t="s">
        <v>509</v>
      </c>
      <c r="I96" s="23" t="s">
        <v>293</v>
      </c>
      <c r="J96" s="23" t="s">
        <v>293</v>
      </c>
      <c r="K96" s="23" t="s">
        <v>293</v>
      </c>
      <c r="L96" s="23"/>
      <c r="M96" s="23"/>
      <c r="N96" s="23"/>
      <c r="O96" s="23" t="s">
        <v>503</v>
      </c>
    </row>
    <row r="97" spans="1:15">
      <c r="A97" s="227"/>
      <c r="B97" s="229"/>
      <c r="C97" s="241"/>
      <c r="D97" s="242"/>
      <c r="E97" s="23">
        <v>7</v>
      </c>
      <c r="F97" s="23"/>
      <c r="G97" s="23"/>
      <c r="H97" s="23" t="s">
        <v>509</v>
      </c>
      <c r="I97" s="23" t="s">
        <v>293</v>
      </c>
      <c r="J97" s="23" t="s">
        <v>293</v>
      </c>
      <c r="K97" s="23" t="s">
        <v>293</v>
      </c>
      <c r="L97" s="23"/>
      <c r="M97" s="23"/>
      <c r="N97" s="23"/>
      <c r="O97" s="23" t="s">
        <v>504</v>
      </c>
    </row>
    <row r="98" spans="1:15">
      <c r="A98" s="227"/>
      <c r="B98" s="229"/>
      <c r="C98" s="241"/>
      <c r="D98" s="242"/>
      <c r="E98" s="23">
        <v>8</v>
      </c>
      <c r="F98" s="23"/>
      <c r="G98" s="23"/>
      <c r="H98" s="23" t="s">
        <v>509</v>
      </c>
      <c r="I98" s="23" t="s">
        <v>293</v>
      </c>
      <c r="J98" s="23" t="s">
        <v>293</v>
      </c>
      <c r="K98" s="23" t="s">
        <v>293</v>
      </c>
      <c r="L98" s="23"/>
      <c r="M98" s="23"/>
      <c r="N98" s="23"/>
      <c r="O98" s="23" t="s">
        <v>505</v>
      </c>
    </row>
    <row r="99" spans="1:15">
      <c r="A99" s="227"/>
      <c r="B99" s="229"/>
      <c r="C99" s="241"/>
      <c r="D99" s="242"/>
      <c r="E99" s="23">
        <v>9</v>
      </c>
      <c r="F99" s="23"/>
      <c r="G99" s="23"/>
      <c r="H99" s="23" t="s">
        <v>509</v>
      </c>
      <c r="I99" s="23" t="s">
        <v>293</v>
      </c>
      <c r="J99" s="23" t="s">
        <v>293</v>
      </c>
      <c r="K99" s="23" t="s">
        <v>293</v>
      </c>
      <c r="L99" s="23"/>
      <c r="M99" s="23"/>
      <c r="N99" s="23"/>
      <c r="O99" s="23" t="s">
        <v>506</v>
      </c>
    </row>
    <row r="100" spans="1:15">
      <c r="A100" s="227"/>
      <c r="B100" s="229"/>
      <c r="C100" s="243"/>
      <c r="D100" s="244"/>
      <c r="E100" s="23">
        <v>10</v>
      </c>
      <c r="F100" s="23"/>
      <c r="G100" s="23"/>
      <c r="H100" s="23" t="s">
        <v>509</v>
      </c>
      <c r="I100" s="23" t="s">
        <v>293</v>
      </c>
      <c r="J100" s="23" t="s">
        <v>293</v>
      </c>
      <c r="K100" s="23" t="s">
        <v>293</v>
      </c>
      <c r="L100" s="23"/>
      <c r="M100" s="23"/>
      <c r="N100" s="23"/>
      <c r="O100" s="23" t="s">
        <v>501</v>
      </c>
    </row>
    <row r="101" spans="1:15">
      <c r="A101" s="227"/>
      <c r="B101" s="229"/>
      <c r="C101" s="237" t="s">
        <v>125</v>
      </c>
      <c r="D101" s="238"/>
      <c r="E101" s="23">
        <v>1</v>
      </c>
      <c r="F101" s="23"/>
      <c r="G101" s="23"/>
      <c r="H101" s="23" t="s">
        <v>293</v>
      </c>
      <c r="I101" s="23"/>
      <c r="J101" s="23"/>
      <c r="K101" s="23" t="s">
        <v>293</v>
      </c>
      <c r="L101" s="23"/>
      <c r="M101" s="23"/>
      <c r="N101" s="23"/>
      <c r="O101" s="23"/>
    </row>
    <row r="102" spans="1:15">
      <c r="A102" s="227"/>
      <c r="B102" s="229"/>
      <c r="C102" s="239" t="s">
        <v>107</v>
      </c>
      <c r="D102" s="240"/>
      <c r="E102" s="23">
        <v>1</v>
      </c>
      <c r="F102" s="23"/>
      <c r="G102" s="23"/>
      <c r="H102" s="23"/>
      <c r="I102" s="23" t="s">
        <v>293</v>
      </c>
      <c r="J102" s="23" t="s">
        <v>293</v>
      </c>
      <c r="K102" s="23" t="s">
        <v>293</v>
      </c>
      <c r="L102" s="23"/>
      <c r="M102" s="23" t="s">
        <v>521</v>
      </c>
      <c r="N102" s="23"/>
      <c r="O102" s="23" t="s">
        <v>510</v>
      </c>
    </row>
    <row r="103" spans="1:15">
      <c r="A103" s="227"/>
      <c r="B103" s="229"/>
      <c r="C103" s="241"/>
      <c r="D103" s="242"/>
      <c r="E103" s="23">
        <v>2</v>
      </c>
      <c r="F103" s="23"/>
      <c r="G103" s="23"/>
      <c r="H103" s="23"/>
      <c r="I103" s="23" t="s">
        <v>293</v>
      </c>
      <c r="J103" s="23" t="s">
        <v>515</v>
      </c>
      <c r="K103" s="23" t="s">
        <v>516</v>
      </c>
      <c r="L103" s="23"/>
      <c r="M103" s="23"/>
      <c r="N103" s="23"/>
      <c r="O103" s="23" t="s">
        <v>513</v>
      </c>
    </row>
    <row r="104" spans="1:15">
      <c r="A104" s="227"/>
      <c r="B104" s="229"/>
      <c r="C104" s="241"/>
      <c r="D104" s="242"/>
      <c r="E104" s="23">
        <v>3</v>
      </c>
      <c r="F104" s="23"/>
      <c r="G104" s="23"/>
      <c r="H104" s="23"/>
      <c r="I104" s="23" t="s">
        <v>293</v>
      </c>
      <c r="J104" s="23" t="s">
        <v>293</v>
      </c>
      <c r="K104" s="23" t="s">
        <v>293</v>
      </c>
      <c r="L104" s="23"/>
      <c r="M104" s="23"/>
      <c r="N104" s="23"/>
      <c r="O104" s="23" t="s">
        <v>517</v>
      </c>
    </row>
    <row r="105" spans="1:15">
      <c r="A105" s="227"/>
      <c r="B105" s="229"/>
      <c r="C105" s="241"/>
      <c r="D105" s="242"/>
      <c r="E105" s="23">
        <v>4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27"/>
      <c r="B106" s="229"/>
      <c r="C106" s="241"/>
      <c r="D106" s="242"/>
      <c r="E106" s="23">
        <v>5</v>
      </c>
      <c r="F106" s="23"/>
      <c r="G106" s="23"/>
      <c r="H106" s="23"/>
      <c r="I106" s="23" t="s">
        <v>293</v>
      </c>
      <c r="J106" s="23" t="s">
        <v>293</v>
      </c>
      <c r="K106" s="23" t="s">
        <v>293</v>
      </c>
      <c r="L106" s="23"/>
      <c r="M106" s="23" t="s">
        <v>293</v>
      </c>
      <c r="N106" s="23"/>
      <c r="O106" s="23" t="s">
        <v>508</v>
      </c>
    </row>
    <row r="107" spans="1:15">
      <c r="A107" s="227"/>
      <c r="B107" s="229"/>
      <c r="C107" s="243"/>
      <c r="D107" s="244"/>
      <c r="E107" s="23">
        <v>6</v>
      </c>
      <c r="F107" s="23"/>
      <c r="G107" s="23"/>
      <c r="H107" s="23"/>
      <c r="I107" s="23" t="s">
        <v>293</v>
      </c>
      <c r="J107" s="23" t="s">
        <v>293</v>
      </c>
      <c r="K107" s="23" t="s">
        <v>293</v>
      </c>
      <c r="L107" s="23"/>
      <c r="M107" s="23" t="s">
        <v>293</v>
      </c>
      <c r="N107" s="23"/>
      <c r="O107" s="23" t="s">
        <v>514</v>
      </c>
    </row>
    <row r="108" spans="1:15">
      <c r="A108" s="227"/>
      <c r="B108" s="229"/>
      <c r="C108" s="237" t="s">
        <v>518</v>
      </c>
      <c r="D108" s="238"/>
      <c r="E108" s="23">
        <v>1</v>
      </c>
      <c r="F108" s="23"/>
      <c r="G108" s="23"/>
      <c r="H108" s="23"/>
      <c r="I108" s="23"/>
      <c r="J108" s="23"/>
      <c r="K108" s="23"/>
      <c r="L108" s="23"/>
      <c r="M108" s="23" t="s">
        <v>293</v>
      </c>
      <c r="N108" s="23"/>
      <c r="O108" s="23"/>
    </row>
    <row r="109" spans="1:15">
      <c r="A109" s="227"/>
      <c r="B109" s="229"/>
      <c r="C109" s="239" t="s">
        <v>126</v>
      </c>
      <c r="D109" s="240"/>
      <c r="E109" s="23">
        <v>1</v>
      </c>
      <c r="F109" s="23"/>
      <c r="G109" s="23"/>
      <c r="H109" s="23" t="s">
        <v>507</v>
      </c>
      <c r="I109" s="23"/>
      <c r="J109" s="23" t="s">
        <v>511</v>
      </c>
      <c r="K109" s="23" t="s">
        <v>511</v>
      </c>
      <c r="L109" s="23"/>
      <c r="M109" s="23"/>
      <c r="N109" s="23"/>
      <c r="O109" s="23" t="s">
        <v>512</v>
      </c>
    </row>
    <row r="110" spans="1:15">
      <c r="A110" s="217"/>
      <c r="B110" s="230"/>
      <c r="C110" s="243"/>
      <c r="D110" s="244"/>
      <c r="E110" s="23">
        <v>2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49" t="s">
        <v>110</v>
      </c>
      <c r="B111" s="250" t="s">
        <v>114</v>
      </c>
      <c r="C111" s="231" t="s">
        <v>86</v>
      </c>
      <c r="D111" s="232"/>
      <c r="E111" s="36">
        <v>1</v>
      </c>
      <c r="F111" s="36"/>
      <c r="G111" s="36"/>
      <c r="H111" s="36" t="s">
        <v>293</v>
      </c>
      <c r="I111" s="36"/>
      <c r="J111" s="36"/>
      <c r="K111" s="36" t="s">
        <v>293</v>
      </c>
      <c r="L111" s="36"/>
      <c r="M111" s="36"/>
      <c r="N111" s="36"/>
      <c r="O111" s="36"/>
    </row>
    <row r="112" spans="1:15">
      <c r="A112" s="249"/>
      <c r="B112" s="250"/>
      <c r="C112" s="235"/>
      <c r="D112" s="236"/>
      <c r="E112" s="36">
        <v>2</v>
      </c>
      <c r="F112" s="36"/>
      <c r="G112" s="36"/>
      <c r="H112" s="36" t="s">
        <v>293</v>
      </c>
      <c r="I112" s="36"/>
      <c r="J112" s="36"/>
      <c r="K112" s="36" t="s">
        <v>293</v>
      </c>
      <c r="L112" s="36"/>
      <c r="M112" s="36"/>
      <c r="N112" s="36"/>
      <c r="O112" s="36" t="s">
        <v>495</v>
      </c>
    </row>
    <row r="113" spans="1:15">
      <c r="A113" s="249"/>
      <c r="B113" s="250"/>
      <c r="C113" s="225" t="s">
        <v>117</v>
      </c>
      <c r="D113" s="226"/>
      <c r="E113" s="36">
        <v>1</v>
      </c>
      <c r="F113" s="36"/>
      <c r="G113" s="36"/>
      <c r="H113" s="36" t="s">
        <v>293</v>
      </c>
      <c r="I113" s="36"/>
      <c r="J113" s="36"/>
      <c r="K113" s="36" t="s">
        <v>293</v>
      </c>
      <c r="L113" s="36"/>
      <c r="M113" s="36"/>
      <c r="N113" s="36"/>
      <c r="O113" s="36" t="s">
        <v>496</v>
      </c>
    </row>
    <row r="114" spans="1:15">
      <c r="A114" s="249"/>
      <c r="B114" s="250"/>
      <c r="C114" s="231" t="s">
        <v>125</v>
      </c>
      <c r="D114" s="232"/>
      <c r="E114" s="36">
        <v>1</v>
      </c>
      <c r="F114" s="36"/>
      <c r="G114" s="36"/>
      <c r="H114" s="36" t="s">
        <v>293</v>
      </c>
      <c r="I114" s="36"/>
      <c r="J114" s="36"/>
      <c r="K114" s="36" t="s">
        <v>293</v>
      </c>
      <c r="L114" s="36"/>
      <c r="M114" s="36"/>
      <c r="N114" s="36"/>
      <c r="O114" s="36"/>
    </row>
    <row r="115" spans="1:15">
      <c r="A115" s="249"/>
      <c r="B115" s="250"/>
      <c r="C115" s="235"/>
      <c r="D115" s="236"/>
      <c r="E115" s="36">
        <v>2</v>
      </c>
      <c r="F115" s="36"/>
      <c r="G115" s="36"/>
      <c r="H115" s="36" t="s">
        <v>293</v>
      </c>
      <c r="I115" s="36"/>
      <c r="J115" s="36"/>
      <c r="K115" s="36" t="s">
        <v>293</v>
      </c>
      <c r="L115" s="36"/>
      <c r="M115" s="36"/>
      <c r="N115" s="36"/>
      <c r="O115" s="36"/>
    </row>
    <row r="116" spans="1:15">
      <c r="A116" s="249"/>
      <c r="B116" s="250"/>
      <c r="C116" s="231" t="s">
        <v>124</v>
      </c>
      <c r="D116" s="232"/>
      <c r="E116" s="36">
        <v>1</v>
      </c>
      <c r="F116" s="36"/>
      <c r="G116" s="36"/>
      <c r="H116" s="36" t="s">
        <v>293</v>
      </c>
      <c r="I116" s="36"/>
      <c r="J116" s="36"/>
      <c r="K116" s="36" t="s">
        <v>293</v>
      </c>
      <c r="L116" s="36"/>
      <c r="M116" s="36"/>
      <c r="N116" s="36"/>
      <c r="O116" s="36"/>
    </row>
    <row r="117" spans="1:15">
      <c r="A117" s="249"/>
      <c r="B117" s="250"/>
      <c r="C117" s="233"/>
      <c r="D117" s="234"/>
      <c r="E117" s="36">
        <v>2</v>
      </c>
      <c r="F117" s="36"/>
      <c r="G117" s="36"/>
      <c r="H117" s="36" t="s">
        <v>293</v>
      </c>
      <c r="I117" s="36"/>
      <c r="J117" s="36"/>
      <c r="K117" s="36" t="s">
        <v>293</v>
      </c>
      <c r="L117" s="36"/>
      <c r="M117" s="36"/>
      <c r="N117" s="36"/>
      <c r="O117" s="36"/>
    </row>
    <row r="118" spans="1:15">
      <c r="A118" s="249"/>
      <c r="B118" s="250"/>
      <c r="C118" s="233"/>
      <c r="D118" s="234"/>
      <c r="E118" s="36">
        <v>3</v>
      </c>
      <c r="F118" s="36"/>
      <c r="G118" s="36"/>
      <c r="H118" s="36" t="s">
        <v>293</v>
      </c>
      <c r="I118" s="36"/>
      <c r="J118" s="36"/>
      <c r="K118" s="36" t="s">
        <v>293</v>
      </c>
      <c r="L118" s="36"/>
      <c r="M118" s="36"/>
      <c r="N118" s="36"/>
      <c r="O118" s="36"/>
    </row>
    <row r="119" spans="1:15">
      <c r="A119" s="249"/>
      <c r="B119" s="250"/>
      <c r="C119" s="233"/>
      <c r="D119" s="234"/>
      <c r="E119" s="36">
        <v>4</v>
      </c>
      <c r="F119" s="36"/>
      <c r="G119" s="36"/>
      <c r="H119" s="36" t="s">
        <v>293</v>
      </c>
      <c r="I119" s="36"/>
      <c r="J119" s="36"/>
      <c r="K119" s="36" t="s">
        <v>293</v>
      </c>
      <c r="L119" s="36"/>
      <c r="M119" s="36"/>
      <c r="N119" s="36"/>
      <c r="O119" s="36" t="s">
        <v>494</v>
      </c>
    </row>
    <row r="120" spans="1:15">
      <c r="A120" s="249"/>
      <c r="B120" s="250"/>
      <c r="C120" s="235"/>
      <c r="D120" s="236"/>
      <c r="E120" s="36">
        <v>5</v>
      </c>
      <c r="F120" s="36"/>
      <c r="G120" s="36"/>
      <c r="H120" s="36" t="s">
        <v>293</v>
      </c>
      <c r="I120" s="36"/>
      <c r="J120" s="36"/>
      <c r="K120" s="36" t="s">
        <v>293</v>
      </c>
      <c r="L120" s="36"/>
      <c r="M120" s="36"/>
      <c r="N120" s="36"/>
      <c r="O120" s="36"/>
    </row>
    <row r="121" spans="1:15">
      <c r="A121" s="247" t="s">
        <v>111</v>
      </c>
      <c r="B121" s="251" t="s">
        <v>114</v>
      </c>
      <c r="C121" s="237" t="s">
        <v>117</v>
      </c>
      <c r="D121" s="238"/>
      <c r="E121" s="23">
        <v>1</v>
      </c>
      <c r="F121" s="23"/>
      <c r="G121" s="23"/>
      <c r="H121" s="23" t="s">
        <v>293</v>
      </c>
      <c r="I121" s="23"/>
      <c r="J121" s="23"/>
      <c r="K121" s="23" t="s">
        <v>293</v>
      </c>
      <c r="L121" s="23"/>
      <c r="M121" s="23"/>
      <c r="N121" s="23"/>
      <c r="O121" s="23" t="s">
        <v>489</v>
      </c>
    </row>
    <row r="122" spans="1:15">
      <c r="A122" s="247"/>
      <c r="B122" s="251"/>
      <c r="C122" s="239" t="s">
        <v>121</v>
      </c>
      <c r="D122" s="240"/>
      <c r="E122" s="23">
        <v>1</v>
      </c>
      <c r="F122" s="23"/>
      <c r="G122" s="23"/>
      <c r="H122" s="23" t="s">
        <v>293</v>
      </c>
      <c r="I122" s="23"/>
      <c r="J122" s="23"/>
      <c r="K122" s="23" t="s">
        <v>293</v>
      </c>
      <c r="L122" s="23"/>
      <c r="M122" s="23"/>
      <c r="N122" s="23"/>
      <c r="O122" s="23"/>
    </row>
    <row r="123" spans="1:15">
      <c r="A123" s="247"/>
      <c r="B123" s="251"/>
      <c r="C123" s="241"/>
      <c r="D123" s="242"/>
      <c r="E123" s="23">
        <v>2</v>
      </c>
      <c r="F123" s="23"/>
      <c r="G123" s="23"/>
      <c r="H123" s="23" t="s">
        <v>293</v>
      </c>
      <c r="I123" s="23"/>
      <c r="J123" s="23"/>
      <c r="K123" s="23" t="s">
        <v>293</v>
      </c>
      <c r="L123" s="23"/>
      <c r="M123" s="23"/>
      <c r="N123" s="23"/>
      <c r="O123" s="23"/>
    </row>
    <row r="124" spans="1:15">
      <c r="A124" s="247"/>
      <c r="B124" s="251"/>
      <c r="C124" s="243"/>
      <c r="D124" s="244"/>
      <c r="E124" s="23">
        <v>3</v>
      </c>
      <c r="F124" s="23"/>
      <c r="G124" s="23"/>
      <c r="H124" s="23" t="s">
        <v>293</v>
      </c>
      <c r="I124" s="23"/>
      <c r="J124" s="23"/>
      <c r="K124" s="23" t="s">
        <v>293</v>
      </c>
      <c r="L124" s="23"/>
      <c r="M124" s="23"/>
      <c r="N124" s="23"/>
      <c r="O124" s="23"/>
    </row>
    <row r="125" spans="1:15">
      <c r="A125" s="247"/>
      <c r="B125" s="251"/>
      <c r="C125" s="239" t="s">
        <v>119</v>
      </c>
      <c r="D125" s="240"/>
      <c r="E125" s="23">
        <v>1</v>
      </c>
      <c r="F125" s="23"/>
      <c r="G125" s="23"/>
      <c r="H125" s="23" t="s">
        <v>293</v>
      </c>
      <c r="I125" s="23"/>
      <c r="J125" s="23"/>
      <c r="K125" s="23" t="s">
        <v>293</v>
      </c>
      <c r="L125" s="23"/>
      <c r="M125" s="23"/>
      <c r="N125" s="23"/>
      <c r="O125" s="23"/>
    </row>
    <row r="126" spans="1:15">
      <c r="A126" s="247"/>
      <c r="B126" s="251"/>
      <c r="C126" s="241"/>
      <c r="D126" s="242"/>
      <c r="E126" s="23">
        <v>2</v>
      </c>
      <c r="F126" s="23"/>
      <c r="G126" s="23"/>
      <c r="H126" s="23" t="s">
        <v>293</v>
      </c>
      <c r="I126" s="23"/>
      <c r="J126" s="23"/>
      <c r="K126" s="23" t="s">
        <v>293</v>
      </c>
      <c r="L126" s="23"/>
      <c r="M126" s="23"/>
      <c r="N126" s="23"/>
      <c r="O126" s="23"/>
    </row>
    <row r="127" spans="1:15">
      <c r="A127" s="247"/>
      <c r="B127" s="251"/>
      <c r="C127" s="243"/>
      <c r="D127" s="244"/>
      <c r="E127" s="23">
        <v>3</v>
      </c>
      <c r="F127" s="23"/>
      <c r="G127" s="23"/>
      <c r="H127" s="23" t="s">
        <v>293</v>
      </c>
      <c r="I127" s="23"/>
      <c r="J127" s="23"/>
      <c r="K127" s="23" t="s">
        <v>293</v>
      </c>
      <c r="L127" s="23"/>
      <c r="M127" s="23"/>
      <c r="N127" s="23"/>
      <c r="O127" s="23"/>
    </row>
    <row r="128" spans="1:15" ht="16.5" customHeight="1">
      <c r="A128" s="219" t="s">
        <v>112</v>
      </c>
      <c r="B128" s="222" t="s">
        <v>106</v>
      </c>
      <c r="C128" s="225" t="s">
        <v>127</v>
      </c>
      <c r="D128" s="226"/>
      <c r="E128" s="36">
        <v>1</v>
      </c>
      <c r="F128" s="36"/>
      <c r="G128" s="36"/>
      <c r="H128" s="36" t="s">
        <v>19</v>
      </c>
      <c r="I128" s="36" t="s">
        <v>485</v>
      </c>
      <c r="J128" s="36" t="s">
        <v>293</v>
      </c>
      <c r="K128" s="36" t="s">
        <v>293</v>
      </c>
      <c r="L128" s="36"/>
      <c r="M128" s="36"/>
      <c r="N128" s="36"/>
      <c r="O128" s="36"/>
    </row>
    <row r="129" spans="1:15">
      <c r="A129" s="220"/>
      <c r="B129" s="223"/>
      <c r="C129" s="231" t="s">
        <v>86</v>
      </c>
      <c r="D129" s="232"/>
      <c r="E129" s="36">
        <v>1</v>
      </c>
      <c r="F129" s="36"/>
      <c r="G129" s="36"/>
      <c r="H129" s="36" t="s">
        <v>293</v>
      </c>
      <c r="I129" s="36"/>
      <c r="J129" s="36"/>
      <c r="K129" s="36" t="s">
        <v>293</v>
      </c>
      <c r="L129" s="36"/>
      <c r="M129" s="36"/>
      <c r="N129" s="36"/>
      <c r="O129" s="36"/>
    </row>
    <row r="130" spans="1:15">
      <c r="A130" s="220"/>
      <c r="B130" s="223"/>
      <c r="C130" s="233"/>
      <c r="D130" s="234"/>
      <c r="E130" s="36">
        <v>2</v>
      </c>
      <c r="F130" s="36"/>
      <c r="G130" s="36"/>
      <c r="H130" s="36" t="s">
        <v>293</v>
      </c>
      <c r="I130" s="36"/>
      <c r="J130" s="36"/>
      <c r="K130" s="36" t="s">
        <v>293</v>
      </c>
      <c r="L130" s="36"/>
      <c r="M130" s="36"/>
      <c r="N130" s="36"/>
      <c r="O130" s="36"/>
    </row>
    <row r="131" spans="1:15">
      <c r="A131" s="220"/>
      <c r="B131" s="223"/>
      <c r="C131" s="235"/>
      <c r="D131" s="236"/>
      <c r="E131" s="36">
        <v>3</v>
      </c>
      <c r="F131" s="36"/>
      <c r="G131" s="36"/>
      <c r="H131" s="36" t="s">
        <v>293</v>
      </c>
      <c r="I131" s="36"/>
      <c r="J131" s="36"/>
      <c r="K131" s="36" t="s">
        <v>293</v>
      </c>
      <c r="L131" s="36"/>
      <c r="M131" s="36"/>
      <c r="N131" s="36"/>
      <c r="O131" s="36"/>
    </row>
    <row r="132" spans="1:15" ht="17.25" customHeight="1">
      <c r="A132" s="220"/>
      <c r="B132" s="223"/>
      <c r="C132" s="225" t="s">
        <v>117</v>
      </c>
      <c r="D132" s="226"/>
      <c r="E132" s="36">
        <v>1</v>
      </c>
      <c r="F132" s="36"/>
      <c r="G132" s="36"/>
      <c r="H132" s="36" t="s">
        <v>293</v>
      </c>
      <c r="I132" s="36"/>
      <c r="J132" s="36"/>
      <c r="K132" s="36" t="s">
        <v>293</v>
      </c>
      <c r="L132" s="36"/>
      <c r="M132" s="36"/>
      <c r="N132" s="36"/>
      <c r="O132" s="36" t="s">
        <v>488</v>
      </c>
    </row>
    <row r="133" spans="1:15">
      <c r="A133" s="220"/>
      <c r="B133" s="223"/>
      <c r="C133" s="231" t="s">
        <v>484</v>
      </c>
      <c r="D133" s="232"/>
      <c r="E133" s="36">
        <v>1</v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1:15">
      <c r="A134" s="220"/>
      <c r="B134" s="223"/>
      <c r="C134" s="233"/>
      <c r="D134" s="234"/>
      <c r="E134" s="36">
        <v>2</v>
      </c>
      <c r="F134" s="36"/>
      <c r="G134" s="36"/>
      <c r="H134" s="36" t="s">
        <v>293</v>
      </c>
      <c r="I134" s="36"/>
      <c r="J134" s="36"/>
      <c r="K134" s="36" t="s">
        <v>293</v>
      </c>
      <c r="L134" s="36"/>
      <c r="M134" s="36"/>
      <c r="N134" s="36"/>
      <c r="O134" s="36" t="s">
        <v>487</v>
      </c>
    </row>
    <row r="135" spans="1:15">
      <c r="A135" s="220"/>
      <c r="B135" s="223"/>
      <c r="C135" s="233"/>
      <c r="D135" s="234"/>
      <c r="E135" s="36">
        <v>3</v>
      </c>
      <c r="F135" s="36"/>
      <c r="G135" s="36"/>
      <c r="H135" s="36" t="s">
        <v>293</v>
      </c>
      <c r="I135" s="36"/>
      <c r="J135" s="36"/>
      <c r="K135" s="36" t="s">
        <v>293</v>
      </c>
      <c r="L135" s="36"/>
      <c r="M135" s="36"/>
      <c r="N135" s="36"/>
      <c r="O135" s="36"/>
    </row>
    <row r="136" spans="1:15">
      <c r="A136" s="220"/>
      <c r="B136" s="223"/>
      <c r="C136" s="233"/>
      <c r="D136" s="234"/>
      <c r="E136" s="36">
        <v>4</v>
      </c>
      <c r="F136" s="36"/>
      <c r="G136" s="36"/>
      <c r="H136" s="36" t="s">
        <v>293</v>
      </c>
      <c r="I136" s="36"/>
      <c r="J136" s="36"/>
      <c r="K136" s="36" t="s">
        <v>293</v>
      </c>
      <c r="L136" s="36"/>
      <c r="M136" s="36"/>
      <c r="N136" s="36"/>
      <c r="O136" s="36"/>
    </row>
    <row r="137" spans="1:15">
      <c r="A137" s="220"/>
      <c r="B137" s="223"/>
      <c r="C137" s="233"/>
      <c r="D137" s="234"/>
      <c r="E137" s="36">
        <v>5</v>
      </c>
      <c r="F137" s="36"/>
      <c r="G137" s="36"/>
      <c r="H137" s="36" t="s">
        <v>293</v>
      </c>
      <c r="I137" s="36"/>
      <c r="J137" s="36"/>
      <c r="K137" s="36" t="s">
        <v>293</v>
      </c>
      <c r="L137" s="36"/>
      <c r="M137" s="36"/>
      <c r="N137" s="36"/>
      <c r="O137" s="36"/>
    </row>
    <row r="138" spans="1:15">
      <c r="A138" s="220"/>
      <c r="B138" s="223"/>
      <c r="C138" s="233"/>
      <c r="D138" s="234"/>
      <c r="E138" s="36">
        <v>6</v>
      </c>
      <c r="F138" s="36"/>
      <c r="G138" s="36"/>
      <c r="H138" s="36" t="s">
        <v>293</v>
      </c>
      <c r="I138" s="36"/>
      <c r="J138" s="36"/>
      <c r="K138" s="36" t="s">
        <v>293</v>
      </c>
      <c r="L138" s="36"/>
      <c r="M138" s="36"/>
      <c r="N138" s="36"/>
      <c r="O138" s="36"/>
    </row>
    <row r="139" spans="1:15">
      <c r="A139" s="220"/>
      <c r="B139" s="223"/>
      <c r="C139" s="233"/>
      <c r="D139" s="234"/>
      <c r="E139" s="36">
        <v>7</v>
      </c>
      <c r="F139" s="36"/>
      <c r="G139" s="36"/>
      <c r="H139" s="36" t="s">
        <v>293</v>
      </c>
      <c r="I139" s="36"/>
      <c r="J139" s="36"/>
      <c r="K139" s="36" t="s">
        <v>293</v>
      </c>
      <c r="L139" s="36"/>
      <c r="M139" s="36"/>
      <c r="N139" s="36"/>
      <c r="O139" s="36"/>
    </row>
    <row r="140" spans="1:15">
      <c r="A140" s="220"/>
      <c r="B140" s="223"/>
      <c r="C140" s="233"/>
      <c r="D140" s="234"/>
      <c r="E140" s="36">
        <v>8</v>
      </c>
      <c r="F140" s="36"/>
      <c r="G140" s="36"/>
      <c r="H140" s="36" t="s">
        <v>293</v>
      </c>
      <c r="I140" s="36"/>
      <c r="J140" s="36"/>
      <c r="K140" s="36" t="s">
        <v>293</v>
      </c>
      <c r="L140" s="36"/>
      <c r="M140" s="36"/>
      <c r="N140" s="36"/>
      <c r="O140" s="36"/>
    </row>
    <row r="141" spans="1:15">
      <c r="A141" s="220"/>
      <c r="B141" s="223"/>
      <c r="C141" s="233"/>
      <c r="D141" s="234"/>
      <c r="E141" s="36">
        <v>9</v>
      </c>
      <c r="F141" s="36"/>
      <c r="G141" s="36"/>
      <c r="H141" s="36" t="s">
        <v>293</v>
      </c>
      <c r="I141" s="36"/>
      <c r="J141" s="36"/>
      <c r="K141" s="36" t="s">
        <v>293</v>
      </c>
      <c r="L141" s="36"/>
      <c r="M141" s="36"/>
      <c r="N141" s="36"/>
      <c r="O141" s="36"/>
    </row>
    <row r="142" spans="1:15">
      <c r="A142" s="220"/>
      <c r="B142" s="223"/>
      <c r="C142" s="233"/>
      <c r="D142" s="234"/>
      <c r="E142" s="36">
        <v>10</v>
      </c>
      <c r="F142" s="36"/>
      <c r="G142" s="36"/>
      <c r="H142" s="36" t="s">
        <v>293</v>
      </c>
      <c r="I142" s="36"/>
      <c r="J142" s="36"/>
      <c r="K142" s="36" t="s">
        <v>293</v>
      </c>
      <c r="L142" s="36"/>
      <c r="M142" s="36"/>
      <c r="N142" s="36"/>
      <c r="O142" s="36"/>
    </row>
    <row r="143" spans="1:15">
      <c r="A143" s="220"/>
      <c r="B143" s="223"/>
      <c r="C143" s="233"/>
      <c r="D143" s="234"/>
      <c r="E143" s="36">
        <v>11</v>
      </c>
      <c r="F143" s="36"/>
      <c r="G143" s="36"/>
      <c r="H143" s="36" t="s">
        <v>293</v>
      </c>
      <c r="I143" s="36"/>
      <c r="J143" s="36"/>
      <c r="K143" s="36" t="s">
        <v>293</v>
      </c>
      <c r="L143" s="36"/>
      <c r="M143" s="36"/>
      <c r="N143" s="36"/>
      <c r="O143" s="36"/>
    </row>
    <row r="144" spans="1:15">
      <c r="A144" s="220"/>
      <c r="B144" s="223"/>
      <c r="C144" s="233"/>
      <c r="D144" s="234"/>
      <c r="E144" s="36">
        <v>12</v>
      </c>
      <c r="F144" s="36"/>
      <c r="G144" s="36"/>
      <c r="H144" s="36" t="s">
        <v>293</v>
      </c>
      <c r="I144" s="36"/>
      <c r="J144" s="36"/>
      <c r="K144" s="36"/>
      <c r="L144" s="36"/>
      <c r="M144" s="36"/>
      <c r="N144" s="36"/>
      <c r="O144" s="36" t="s">
        <v>486</v>
      </c>
    </row>
    <row r="145" spans="1:15">
      <c r="A145" s="220"/>
      <c r="B145" s="223"/>
      <c r="C145" s="233"/>
      <c r="D145" s="234"/>
      <c r="E145" s="36">
        <v>13</v>
      </c>
      <c r="F145" s="36"/>
      <c r="G145" s="36"/>
      <c r="H145" s="36" t="s">
        <v>293</v>
      </c>
      <c r="I145" s="36"/>
      <c r="J145" s="36"/>
      <c r="K145" s="36" t="s">
        <v>293</v>
      </c>
      <c r="L145" s="36"/>
      <c r="M145" s="36"/>
      <c r="N145" s="36"/>
      <c r="O145" s="36"/>
    </row>
    <row r="146" spans="1:15">
      <c r="A146" s="221"/>
      <c r="B146" s="224"/>
      <c r="C146" s="235"/>
      <c r="D146" s="236"/>
      <c r="E146" s="36">
        <v>14</v>
      </c>
      <c r="F146" s="36"/>
      <c r="G146" s="36"/>
      <c r="H146" s="36" t="s">
        <v>293</v>
      </c>
      <c r="I146" s="36"/>
      <c r="J146" s="36"/>
      <c r="K146" s="36" t="s">
        <v>293</v>
      </c>
      <c r="L146" s="36"/>
      <c r="M146" s="36"/>
      <c r="N146" s="36"/>
      <c r="O146" s="36"/>
    </row>
    <row r="147" spans="1:15">
      <c r="A147" s="216" t="s">
        <v>113</v>
      </c>
      <c r="B147" s="228" t="s">
        <v>92</v>
      </c>
      <c r="C147" s="237" t="s">
        <v>296</v>
      </c>
      <c r="D147" s="238"/>
      <c r="E147" s="23">
        <v>1</v>
      </c>
      <c r="F147" s="23"/>
      <c r="G147" s="23"/>
      <c r="H147" s="23" t="s">
        <v>293</v>
      </c>
      <c r="I147" s="23" t="s">
        <v>293</v>
      </c>
      <c r="J147" s="23"/>
      <c r="K147" s="23" t="s">
        <v>293</v>
      </c>
      <c r="L147" s="23"/>
      <c r="M147" s="23"/>
      <c r="N147" s="23"/>
      <c r="O147" s="23" t="s">
        <v>297</v>
      </c>
    </row>
    <row r="148" spans="1:15" ht="24">
      <c r="A148" s="227"/>
      <c r="B148" s="229"/>
      <c r="C148" s="239" t="s">
        <v>91</v>
      </c>
      <c r="D148" s="240"/>
      <c r="E148" s="23">
        <v>1</v>
      </c>
      <c r="F148" s="23"/>
      <c r="G148" s="23"/>
      <c r="H148" s="23" t="s">
        <v>293</v>
      </c>
      <c r="I148" s="27" t="s">
        <v>193</v>
      </c>
      <c r="J148" s="23"/>
      <c r="K148" s="23" t="s">
        <v>293</v>
      </c>
      <c r="L148" s="23"/>
      <c r="M148" s="23"/>
      <c r="N148" s="23"/>
      <c r="O148" s="23" t="s">
        <v>294</v>
      </c>
    </row>
    <row r="149" spans="1:15">
      <c r="A149" s="227"/>
      <c r="B149" s="229"/>
      <c r="C149" s="241"/>
      <c r="D149" s="242"/>
      <c r="E149" s="23">
        <v>2</v>
      </c>
      <c r="F149" s="23"/>
      <c r="G149" s="23"/>
      <c r="H149" s="23" t="s">
        <v>293</v>
      </c>
      <c r="I149" s="23"/>
      <c r="J149" s="23"/>
      <c r="K149" s="23" t="s">
        <v>293</v>
      </c>
      <c r="L149" s="23"/>
      <c r="M149" s="23"/>
      <c r="N149" s="23"/>
      <c r="O149" s="23" t="s">
        <v>295</v>
      </c>
    </row>
    <row r="150" spans="1:15">
      <c r="A150" s="227"/>
      <c r="B150" s="229"/>
      <c r="C150" s="241"/>
      <c r="D150" s="242"/>
      <c r="E150" s="23">
        <v>3</v>
      </c>
      <c r="F150" s="23"/>
      <c r="G150" s="23"/>
      <c r="H150" s="23" t="s">
        <v>293</v>
      </c>
      <c r="I150" s="23" t="s">
        <v>293</v>
      </c>
      <c r="J150" s="23"/>
      <c r="K150" s="23" t="s">
        <v>293</v>
      </c>
      <c r="L150" s="23"/>
      <c r="M150" s="23"/>
      <c r="N150" s="23"/>
      <c r="O150" s="23" t="s">
        <v>299</v>
      </c>
    </row>
    <row r="151" spans="1:15">
      <c r="A151" s="227"/>
      <c r="B151" s="229"/>
      <c r="C151" s="241"/>
      <c r="D151" s="242"/>
      <c r="E151" s="23">
        <v>4</v>
      </c>
      <c r="F151" s="23"/>
      <c r="G151" s="23"/>
      <c r="H151" s="23" t="s">
        <v>293</v>
      </c>
      <c r="I151" s="23" t="s">
        <v>293</v>
      </c>
      <c r="J151" s="23"/>
      <c r="K151" s="23" t="s">
        <v>293</v>
      </c>
      <c r="L151" s="23"/>
      <c r="M151" s="23"/>
      <c r="N151" s="23"/>
      <c r="O151" s="23"/>
    </row>
    <row r="152" spans="1:15">
      <c r="A152" s="227"/>
      <c r="B152" s="229"/>
      <c r="C152" s="241"/>
      <c r="D152" s="242"/>
      <c r="E152" s="23">
        <v>5</v>
      </c>
      <c r="F152" s="23"/>
      <c r="G152" s="23"/>
      <c r="H152" s="23" t="s">
        <v>293</v>
      </c>
      <c r="I152" s="23" t="s">
        <v>293</v>
      </c>
      <c r="J152" s="23"/>
      <c r="K152" s="23" t="s">
        <v>293</v>
      </c>
      <c r="L152" s="23"/>
      <c r="M152" s="23"/>
      <c r="N152" s="23"/>
      <c r="O152" s="23" t="s">
        <v>493</v>
      </c>
    </row>
    <row r="153" spans="1:15">
      <c r="A153" s="227"/>
      <c r="B153" s="229"/>
      <c r="C153" s="243"/>
      <c r="D153" s="244"/>
      <c r="E153" s="23">
        <v>6</v>
      </c>
      <c r="F153" s="23"/>
      <c r="G153" s="23"/>
      <c r="H153" s="23" t="s">
        <v>293</v>
      </c>
      <c r="I153" s="23" t="s">
        <v>293</v>
      </c>
      <c r="J153" s="23"/>
      <c r="K153" s="23" t="s">
        <v>293</v>
      </c>
      <c r="L153" s="23"/>
      <c r="M153" s="23"/>
      <c r="N153" s="23"/>
      <c r="O153" s="23"/>
    </row>
    <row r="154" spans="1:15">
      <c r="A154" s="227"/>
      <c r="B154" s="229"/>
      <c r="C154" s="237" t="s">
        <v>86</v>
      </c>
      <c r="D154" s="238"/>
      <c r="E154" s="23">
        <v>1</v>
      </c>
      <c r="F154" s="23"/>
      <c r="G154" s="23"/>
      <c r="H154" s="23" t="s">
        <v>293</v>
      </c>
      <c r="I154" s="23" t="s">
        <v>293</v>
      </c>
      <c r="J154" s="23"/>
      <c r="K154" s="23" t="s">
        <v>293</v>
      </c>
      <c r="L154" s="23"/>
      <c r="M154" s="23"/>
      <c r="N154" s="23"/>
      <c r="O154" s="23"/>
    </row>
    <row r="155" spans="1:15">
      <c r="A155" s="227"/>
      <c r="B155" s="229"/>
      <c r="C155" s="239" t="s">
        <v>303</v>
      </c>
      <c r="D155" s="240"/>
      <c r="E155" s="23">
        <v>1</v>
      </c>
      <c r="F155" s="23"/>
      <c r="G155" s="23"/>
      <c r="H155" s="23" t="s">
        <v>293</v>
      </c>
      <c r="I155" s="23" t="s">
        <v>293</v>
      </c>
      <c r="J155" s="23"/>
      <c r="K155" s="23" t="s">
        <v>293</v>
      </c>
      <c r="L155" s="23"/>
      <c r="M155" s="23"/>
      <c r="N155" s="23"/>
      <c r="O155" s="23" t="s">
        <v>302</v>
      </c>
    </row>
    <row r="156" spans="1:15">
      <c r="A156" s="227"/>
      <c r="B156" s="229"/>
      <c r="C156" s="241"/>
      <c r="D156" s="242"/>
      <c r="E156" s="23">
        <v>2</v>
      </c>
      <c r="F156" s="23"/>
      <c r="G156" s="23"/>
      <c r="H156" s="23" t="s">
        <v>293</v>
      </c>
      <c r="I156" s="23" t="s">
        <v>293</v>
      </c>
      <c r="J156" s="23"/>
      <c r="K156" s="23" t="s">
        <v>293</v>
      </c>
      <c r="L156" s="23"/>
      <c r="M156" s="23"/>
      <c r="N156" s="23"/>
      <c r="O156" s="23" t="s">
        <v>306</v>
      </c>
    </row>
    <row r="157" spans="1:15">
      <c r="A157" s="227"/>
      <c r="B157" s="229"/>
      <c r="C157" s="241"/>
      <c r="D157" s="242"/>
      <c r="E157" s="23">
        <v>3</v>
      </c>
      <c r="F157" s="23"/>
      <c r="G157" s="23"/>
      <c r="H157" s="23" t="s">
        <v>293</v>
      </c>
      <c r="I157" s="23" t="s">
        <v>293</v>
      </c>
      <c r="J157" s="23"/>
      <c r="K157" s="23" t="s">
        <v>293</v>
      </c>
      <c r="L157" s="23"/>
      <c r="M157" s="23"/>
      <c r="N157" s="23"/>
      <c r="O157" s="23" t="s">
        <v>305</v>
      </c>
    </row>
    <row r="158" spans="1:15">
      <c r="A158" s="227"/>
      <c r="B158" s="229"/>
      <c r="C158" s="243"/>
      <c r="D158" s="244"/>
      <c r="E158" s="23">
        <v>4</v>
      </c>
      <c r="F158" s="23"/>
      <c r="G158" s="23"/>
      <c r="H158" s="23" t="s">
        <v>293</v>
      </c>
      <c r="I158" s="23" t="s">
        <v>293</v>
      </c>
      <c r="J158" s="23"/>
      <c r="K158" s="23" t="s">
        <v>293</v>
      </c>
      <c r="L158" s="23"/>
      <c r="M158" s="23"/>
      <c r="N158" s="23"/>
      <c r="O158" s="23" t="s">
        <v>304</v>
      </c>
    </row>
    <row r="159" spans="1:15" ht="15.75" customHeight="1">
      <c r="A159" s="227"/>
      <c r="B159" s="229"/>
      <c r="C159" s="239" t="s">
        <v>125</v>
      </c>
      <c r="D159" s="240"/>
      <c r="E159" s="23">
        <v>1</v>
      </c>
      <c r="F159" s="23"/>
      <c r="G159" s="23"/>
      <c r="H159" s="23" t="s">
        <v>293</v>
      </c>
      <c r="I159" s="23" t="s">
        <v>293</v>
      </c>
      <c r="J159" s="23"/>
      <c r="K159" s="23" t="s">
        <v>293</v>
      </c>
      <c r="L159" s="23"/>
      <c r="M159" s="23"/>
      <c r="N159" s="23"/>
      <c r="O159" s="23"/>
    </row>
    <row r="160" spans="1:15" ht="15.75" customHeight="1">
      <c r="A160" s="227"/>
      <c r="B160" s="229"/>
      <c r="C160" s="241"/>
      <c r="D160" s="242"/>
      <c r="E160" s="23">
        <v>2</v>
      </c>
      <c r="F160" s="23"/>
      <c r="G160" s="23"/>
      <c r="H160" s="23" t="s">
        <v>293</v>
      </c>
      <c r="I160" s="23" t="s">
        <v>293</v>
      </c>
      <c r="J160" s="23"/>
      <c r="K160" s="23" t="s">
        <v>293</v>
      </c>
      <c r="L160" s="23"/>
      <c r="M160" s="23"/>
      <c r="N160" s="23"/>
      <c r="O160" s="23"/>
    </row>
    <row r="161" spans="1:15" ht="15.75" customHeight="1">
      <c r="A161" s="227"/>
      <c r="B161" s="229"/>
      <c r="C161" s="241"/>
      <c r="D161" s="242"/>
      <c r="E161" s="23">
        <v>3</v>
      </c>
      <c r="F161" s="23"/>
      <c r="G161" s="23"/>
      <c r="H161" s="23" t="s">
        <v>293</v>
      </c>
      <c r="I161" s="23" t="s">
        <v>293</v>
      </c>
      <c r="J161" s="23"/>
      <c r="K161" s="23" t="s">
        <v>293</v>
      </c>
      <c r="L161" s="23"/>
      <c r="M161" s="23"/>
      <c r="N161" s="23"/>
      <c r="O161" s="23" t="s">
        <v>300</v>
      </c>
    </row>
    <row r="162" spans="1:15" ht="15.75" customHeight="1">
      <c r="A162" s="227"/>
      <c r="B162" s="229"/>
      <c r="C162" s="241"/>
      <c r="D162" s="242"/>
      <c r="E162" s="23">
        <v>4</v>
      </c>
      <c r="F162" s="23"/>
      <c r="G162" s="23"/>
      <c r="H162" s="23" t="s">
        <v>293</v>
      </c>
      <c r="I162" s="23" t="s">
        <v>293</v>
      </c>
      <c r="J162" s="23"/>
      <c r="K162" s="23" t="s">
        <v>293</v>
      </c>
      <c r="L162" s="23"/>
      <c r="M162" s="23"/>
      <c r="N162" s="23"/>
      <c r="O162" s="23"/>
    </row>
    <row r="163" spans="1:15" ht="15.75" customHeight="1">
      <c r="A163" s="227"/>
      <c r="B163" s="229"/>
      <c r="C163" s="241"/>
      <c r="D163" s="242"/>
      <c r="E163" s="23">
        <v>5</v>
      </c>
      <c r="F163" s="23"/>
      <c r="G163" s="23"/>
      <c r="H163" s="23" t="s">
        <v>483</v>
      </c>
      <c r="I163" s="23" t="s">
        <v>293</v>
      </c>
      <c r="J163" s="23"/>
      <c r="K163" s="23" t="s">
        <v>293</v>
      </c>
      <c r="L163" s="23"/>
      <c r="M163" s="23"/>
      <c r="N163" s="23"/>
      <c r="O163" s="23"/>
    </row>
    <row r="164" spans="1:15">
      <c r="A164" s="227"/>
      <c r="B164" s="229"/>
      <c r="C164" s="241"/>
      <c r="D164" s="242"/>
      <c r="E164" s="23">
        <v>6</v>
      </c>
      <c r="F164" s="23"/>
      <c r="G164" s="23"/>
      <c r="H164" s="23"/>
      <c r="I164" s="23"/>
      <c r="J164" s="23"/>
      <c r="K164" s="23"/>
      <c r="L164" s="23"/>
      <c r="M164" s="23"/>
      <c r="N164" s="23"/>
      <c r="O164" s="228" t="s">
        <v>298</v>
      </c>
    </row>
    <row r="165" spans="1:15">
      <c r="A165" s="227"/>
      <c r="B165" s="229"/>
      <c r="C165" s="241"/>
      <c r="D165" s="242"/>
      <c r="E165" s="23">
        <v>7</v>
      </c>
      <c r="F165" s="23"/>
      <c r="G165" s="23"/>
      <c r="H165" s="23"/>
      <c r="I165" s="23"/>
      <c r="J165" s="23"/>
      <c r="K165" s="23"/>
      <c r="L165" s="23"/>
      <c r="M165" s="23"/>
      <c r="N165" s="23"/>
      <c r="O165" s="229"/>
    </row>
    <row r="166" spans="1:15">
      <c r="A166" s="227"/>
      <c r="B166" s="229"/>
      <c r="C166" s="243"/>
      <c r="D166" s="244"/>
      <c r="E166" s="23">
        <v>8</v>
      </c>
      <c r="F166" s="23"/>
      <c r="G166" s="23"/>
      <c r="H166" s="23"/>
      <c r="I166" s="23"/>
      <c r="J166" s="23"/>
      <c r="K166" s="23"/>
      <c r="L166" s="23"/>
      <c r="M166" s="23"/>
      <c r="N166" s="23"/>
      <c r="O166" s="230"/>
    </row>
    <row r="167" spans="1:15" ht="24">
      <c r="A167" s="227"/>
      <c r="B167" s="229"/>
      <c r="C167" s="239" t="s">
        <v>124</v>
      </c>
      <c r="D167" s="240"/>
      <c r="E167" s="23">
        <v>1</v>
      </c>
      <c r="F167" s="23"/>
      <c r="G167" s="23"/>
      <c r="H167" s="23" t="s">
        <v>293</v>
      </c>
      <c r="I167" s="23" t="s">
        <v>293</v>
      </c>
      <c r="J167" s="23"/>
      <c r="K167" s="23"/>
      <c r="L167" s="23"/>
      <c r="M167" s="23"/>
      <c r="N167" s="23"/>
      <c r="O167" s="23" t="s">
        <v>301</v>
      </c>
    </row>
    <row r="168" spans="1:15" ht="15.75" customHeight="1">
      <c r="A168" s="227"/>
      <c r="B168" s="229"/>
      <c r="C168" s="241"/>
      <c r="D168" s="242"/>
      <c r="E168" s="23">
        <v>2</v>
      </c>
      <c r="F168" s="23"/>
      <c r="G168" s="23"/>
      <c r="H168" s="23" t="s">
        <v>293</v>
      </c>
      <c r="I168" s="23" t="s">
        <v>293</v>
      </c>
      <c r="J168" s="23"/>
      <c r="K168" s="23"/>
      <c r="L168" s="23"/>
      <c r="M168" s="23"/>
      <c r="N168" s="23"/>
      <c r="O168" s="23"/>
    </row>
    <row r="169" spans="1:15" ht="15.75" customHeight="1">
      <c r="A169" s="227"/>
      <c r="B169" s="229"/>
      <c r="C169" s="241"/>
      <c r="D169" s="242"/>
      <c r="E169" s="23">
        <v>3</v>
      </c>
      <c r="F169" s="23"/>
      <c r="G169" s="23"/>
      <c r="H169" s="23" t="s">
        <v>293</v>
      </c>
      <c r="I169" s="23" t="s">
        <v>293</v>
      </c>
      <c r="J169" s="23"/>
      <c r="K169" s="23" t="s">
        <v>293</v>
      </c>
      <c r="L169" s="23"/>
      <c r="M169" s="23"/>
      <c r="N169" s="23"/>
      <c r="O169" s="23"/>
    </row>
    <row r="170" spans="1:15" ht="15.75" customHeight="1">
      <c r="A170" s="227"/>
      <c r="B170" s="229"/>
      <c r="C170" s="241"/>
      <c r="D170" s="242"/>
      <c r="E170" s="23">
        <v>4</v>
      </c>
      <c r="F170" s="23"/>
      <c r="G170" s="23"/>
      <c r="H170" s="23" t="s">
        <v>293</v>
      </c>
      <c r="I170" s="23" t="s">
        <v>293</v>
      </c>
      <c r="J170" s="23"/>
      <c r="K170" s="23" t="s">
        <v>293</v>
      </c>
      <c r="L170" s="23"/>
      <c r="M170" s="23"/>
      <c r="N170" s="23"/>
      <c r="O170" s="23"/>
    </row>
    <row r="171" spans="1:15">
      <c r="A171" s="217"/>
      <c r="B171" s="230"/>
      <c r="C171" s="243"/>
      <c r="D171" s="244"/>
      <c r="E171" s="23">
        <v>5</v>
      </c>
      <c r="F171" s="23"/>
      <c r="G171" s="23"/>
      <c r="H171" s="23" t="s">
        <v>293</v>
      </c>
      <c r="I171" s="23" t="s">
        <v>293</v>
      </c>
      <c r="J171" s="23"/>
      <c r="K171" s="23" t="s">
        <v>293</v>
      </c>
      <c r="L171" s="23"/>
      <c r="M171" s="23"/>
      <c r="N171" s="23"/>
      <c r="O171" s="23"/>
    </row>
    <row r="172" spans="1:15">
      <c r="A172" s="17"/>
      <c r="B172" s="23"/>
      <c r="C172" s="23"/>
      <c r="D172" s="28">
        <v>152</v>
      </c>
      <c r="E172" s="28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 ht="46.5" customHeight="1">
      <c r="A173" s="218" t="s">
        <v>538</v>
      </c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</row>
  </sheetData>
  <mergeCells count="70">
    <mergeCell ref="B4:B6"/>
    <mergeCell ref="A4:A6"/>
    <mergeCell ref="C6:D6"/>
    <mergeCell ref="B7:B41"/>
    <mergeCell ref="A7:A41"/>
    <mergeCell ref="C10:D30"/>
    <mergeCell ref="C9:D9"/>
    <mergeCell ref="C40:D41"/>
    <mergeCell ref="C34:D39"/>
    <mergeCell ref="C31:D33"/>
    <mergeCell ref="C7:D8"/>
    <mergeCell ref="A42:A80"/>
    <mergeCell ref="B42:B80"/>
    <mergeCell ref="C42:D43"/>
    <mergeCell ref="C44:D62"/>
    <mergeCell ref="C63:D65"/>
    <mergeCell ref="C66:D72"/>
    <mergeCell ref="C73:D79"/>
    <mergeCell ref="C80:D80"/>
    <mergeCell ref="C90:D90"/>
    <mergeCell ref="H2:J2"/>
    <mergeCell ref="K2:L2"/>
    <mergeCell ref="C81:D81"/>
    <mergeCell ref="C4:D5"/>
    <mergeCell ref="C2:D3"/>
    <mergeCell ref="C125:D127"/>
    <mergeCell ref="C122:D124"/>
    <mergeCell ref="C121:D121"/>
    <mergeCell ref="M2:N2"/>
    <mergeCell ref="C116:D120"/>
    <mergeCell ref="C114:D115"/>
    <mergeCell ref="C113:D113"/>
    <mergeCell ref="C111:D112"/>
    <mergeCell ref="C109:D110"/>
    <mergeCell ref="C102:D107"/>
    <mergeCell ref="C108:D108"/>
    <mergeCell ref="C101:D101"/>
    <mergeCell ref="C91:D100"/>
    <mergeCell ref="C87:D89"/>
    <mergeCell ref="E2:E3"/>
    <mergeCell ref="C82:D86"/>
    <mergeCell ref="A81:A90"/>
    <mergeCell ref="B81:B90"/>
    <mergeCell ref="A111:A120"/>
    <mergeCell ref="B111:B120"/>
    <mergeCell ref="A121:A127"/>
    <mergeCell ref="B121:B127"/>
    <mergeCell ref="B91:B110"/>
    <mergeCell ref="A91:A110"/>
    <mergeCell ref="A1:O1"/>
    <mergeCell ref="A2:A3"/>
    <mergeCell ref="B2:B3"/>
    <mergeCell ref="F2:G2"/>
    <mergeCell ref="O2:O3"/>
    <mergeCell ref="A173:O173"/>
    <mergeCell ref="A128:A146"/>
    <mergeCell ref="B128:B146"/>
    <mergeCell ref="C128:D128"/>
    <mergeCell ref="A147:A171"/>
    <mergeCell ref="B147:B171"/>
    <mergeCell ref="C133:D146"/>
    <mergeCell ref="C132:D132"/>
    <mergeCell ref="C129:D131"/>
    <mergeCell ref="C147:D147"/>
    <mergeCell ref="O164:O166"/>
    <mergeCell ref="C167:D171"/>
    <mergeCell ref="C159:D166"/>
    <mergeCell ref="C155:D158"/>
    <mergeCell ref="C148:D153"/>
    <mergeCell ref="C154:D15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127" sqref="I127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5"/>
  <sheetViews>
    <sheetView topLeftCell="A10" zoomScale="130" zoomScaleNormal="130" workbookViewId="0">
      <selection activeCell="I127" sqref="I127"/>
    </sheetView>
  </sheetViews>
  <sheetFormatPr defaultRowHeight="12"/>
  <cols>
    <col min="1" max="1" width="3.5" style="29" customWidth="1"/>
    <col min="2" max="2" width="3.875" style="24" customWidth="1"/>
    <col min="3" max="3" width="4.25" style="24" customWidth="1"/>
    <col min="4" max="4" width="3.875" style="24" customWidth="1"/>
    <col min="5" max="5" width="5.375" style="41" customWidth="1"/>
    <col min="6" max="6" width="3.625" style="24" customWidth="1"/>
    <col min="7" max="7" width="3.75" style="24" customWidth="1"/>
    <col min="8" max="8" width="3.875" style="24" customWidth="1"/>
    <col min="9" max="9" width="4" style="24" customWidth="1"/>
    <col min="10" max="10" width="3.75" style="24" customWidth="1"/>
    <col min="11" max="11" width="3.875" style="24" customWidth="1"/>
    <col min="12" max="12" width="4" style="24" customWidth="1"/>
    <col min="13" max="13" width="3.625" style="24" customWidth="1"/>
    <col min="14" max="14" width="4.125" style="24" customWidth="1"/>
    <col min="15" max="15" width="22.625" style="47" customWidth="1"/>
    <col min="16" max="16384" width="9" style="24"/>
  </cols>
  <sheetData>
    <row r="1" spans="1:15" ht="31.5" customHeight="1">
      <c r="A1" s="245" t="s">
        <v>568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1:15">
      <c r="A2" s="247" t="s">
        <v>96</v>
      </c>
      <c r="B2" s="248" t="s">
        <v>97</v>
      </c>
      <c r="C2" s="239" t="s">
        <v>98</v>
      </c>
      <c r="D2" s="240"/>
      <c r="E2" s="216" t="s">
        <v>129</v>
      </c>
      <c r="F2" s="248" t="s">
        <v>105</v>
      </c>
      <c r="G2" s="248"/>
      <c r="H2" s="248" t="s">
        <v>102</v>
      </c>
      <c r="I2" s="248"/>
      <c r="J2" s="248"/>
      <c r="K2" s="248" t="s">
        <v>128</v>
      </c>
      <c r="L2" s="248"/>
      <c r="M2" s="237" t="s">
        <v>295</v>
      </c>
      <c r="N2" s="238"/>
      <c r="O2" s="251" t="s">
        <v>101</v>
      </c>
    </row>
    <row r="3" spans="1:15" ht="25.5" customHeight="1">
      <c r="A3" s="247"/>
      <c r="B3" s="248"/>
      <c r="C3" s="243"/>
      <c r="D3" s="244"/>
      <c r="E3" s="217"/>
      <c r="F3" s="22" t="s">
        <v>103</v>
      </c>
      <c r="G3" s="22" t="s">
        <v>104</v>
      </c>
      <c r="H3" s="22" t="s">
        <v>99</v>
      </c>
      <c r="I3" s="22" t="s">
        <v>100</v>
      </c>
      <c r="J3" s="22" t="s">
        <v>537</v>
      </c>
      <c r="K3" s="22" t="s">
        <v>99</v>
      </c>
      <c r="L3" s="22" t="s">
        <v>100</v>
      </c>
      <c r="M3" s="22" t="s">
        <v>99</v>
      </c>
      <c r="N3" s="22" t="s">
        <v>100</v>
      </c>
      <c r="O3" s="251"/>
    </row>
    <row r="4" spans="1:15" ht="19.5" customHeight="1">
      <c r="A4" s="216" t="s">
        <v>164</v>
      </c>
      <c r="B4" s="228"/>
      <c r="C4" s="237" t="s">
        <v>540</v>
      </c>
      <c r="D4" s="238"/>
      <c r="E4" s="30">
        <v>1</v>
      </c>
      <c r="F4" s="22"/>
      <c r="G4" s="22"/>
      <c r="H4" s="23" t="s">
        <v>293</v>
      </c>
      <c r="I4" s="23" t="s">
        <v>293</v>
      </c>
      <c r="J4" s="23" t="s">
        <v>293</v>
      </c>
      <c r="K4" s="22"/>
      <c r="L4" s="22"/>
      <c r="M4" s="22"/>
      <c r="N4" s="22"/>
      <c r="O4" s="33"/>
    </row>
    <row r="5" spans="1:15" ht="12" customHeight="1">
      <c r="A5" s="227"/>
      <c r="B5" s="229"/>
      <c r="C5" s="239" t="s">
        <v>541</v>
      </c>
      <c r="D5" s="240"/>
      <c r="E5" s="17">
        <v>1</v>
      </c>
      <c r="F5" s="22"/>
      <c r="G5" s="22"/>
      <c r="H5" s="23" t="s">
        <v>293</v>
      </c>
      <c r="I5" s="23"/>
      <c r="J5" s="23" t="s">
        <v>483</v>
      </c>
      <c r="K5" s="22"/>
      <c r="L5" s="23"/>
      <c r="M5" s="22"/>
      <c r="N5" s="22"/>
      <c r="O5" s="33"/>
    </row>
    <row r="6" spans="1:15" ht="12" customHeight="1">
      <c r="A6" s="227"/>
      <c r="B6" s="229"/>
      <c r="C6" s="241"/>
      <c r="D6" s="242"/>
      <c r="E6" s="17">
        <v>2</v>
      </c>
      <c r="F6" s="22"/>
      <c r="G6" s="22"/>
      <c r="H6" s="23" t="s">
        <v>293</v>
      </c>
      <c r="I6" s="23"/>
      <c r="J6" s="23" t="s">
        <v>293</v>
      </c>
      <c r="K6" s="22"/>
      <c r="L6" s="23"/>
      <c r="M6" s="22"/>
      <c r="N6" s="22"/>
      <c r="O6" s="33"/>
    </row>
    <row r="7" spans="1:15" ht="12" customHeight="1">
      <c r="A7" s="227"/>
      <c r="B7" s="229"/>
      <c r="C7" s="243"/>
      <c r="D7" s="244"/>
      <c r="E7" s="17">
        <v>3</v>
      </c>
      <c r="F7" s="22"/>
      <c r="G7" s="22"/>
      <c r="H7" s="23" t="s">
        <v>293</v>
      </c>
      <c r="I7" s="23" t="s">
        <v>293</v>
      </c>
      <c r="J7" s="23" t="s">
        <v>293</v>
      </c>
      <c r="K7" s="22"/>
      <c r="L7" s="23"/>
      <c r="M7" s="22"/>
      <c r="N7" s="22"/>
      <c r="O7" s="33"/>
    </row>
    <row r="8" spans="1:15">
      <c r="A8" s="227"/>
      <c r="B8" s="229"/>
      <c r="C8" s="239" t="s">
        <v>86</v>
      </c>
      <c r="D8" s="240"/>
      <c r="E8" s="17">
        <v>1</v>
      </c>
      <c r="F8" s="22"/>
      <c r="G8" s="22"/>
      <c r="H8" s="23" t="s">
        <v>293</v>
      </c>
      <c r="I8" s="23" t="s">
        <v>293</v>
      </c>
      <c r="J8" s="23" t="s">
        <v>293</v>
      </c>
      <c r="K8" s="22"/>
      <c r="L8" s="23"/>
      <c r="M8" s="22"/>
      <c r="N8" s="22"/>
      <c r="O8" s="33"/>
    </row>
    <row r="9" spans="1:15">
      <c r="A9" s="227"/>
      <c r="B9" s="229"/>
      <c r="C9" s="241"/>
      <c r="D9" s="242"/>
      <c r="E9" s="17">
        <v>2</v>
      </c>
      <c r="F9" s="22"/>
      <c r="G9" s="22"/>
      <c r="H9" s="23" t="s">
        <v>293</v>
      </c>
      <c r="I9" s="23" t="s">
        <v>293</v>
      </c>
      <c r="J9" s="23" t="s">
        <v>293</v>
      </c>
      <c r="K9" s="22"/>
      <c r="L9" s="23"/>
      <c r="M9" s="22"/>
      <c r="N9" s="22"/>
      <c r="O9" s="33"/>
    </row>
    <row r="10" spans="1:15">
      <c r="A10" s="227"/>
      <c r="B10" s="229"/>
      <c r="C10" s="241"/>
      <c r="D10" s="242"/>
      <c r="E10" s="17">
        <v>3</v>
      </c>
      <c r="F10" s="22"/>
      <c r="G10" s="22"/>
      <c r="H10" s="23" t="s">
        <v>293</v>
      </c>
      <c r="I10" s="23" t="s">
        <v>293</v>
      </c>
      <c r="J10" s="23" t="s">
        <v>293</v>
      </c>
      <c r="K10" s="22"/>
      <c r="L10" s="23"/>
      <c r="M10" s="22"/>
      <c r="N10" s="22"/>
      <c r="O10" s="33"/>
    </row>
    <row r="11" spans="1:15">
      <c r="A11" s="227"/>
      <c r="B11" s="229"/>
      <c r="C11" s="241"/>
      <c r="D11" s="242"/>
      <c r="E11" s="17">
        <v>4</v>
      </c>
      <c r="F11" s="22"/>
      <c r="G11" s="22"/>
      <c r="H11" s="23" t="s">
        <v>293</v>
      </c>
      <c r="I11" s="23" t="s">
        <v>293</v>
      </c>
      <c r="J11" s="23" t="s">
        <v>293</v>
      </c>
      <c r="K11" s="22"/>
      <c r="L11" s="23"/>
      <c r="M11" s="22"/>
      <c r="N11" s="22"/>
      <c r="O11" s="33"/>
    </row>
    <row r="12" spans="1:15">
      <c r="A12" s="227"/>
      <c r="B12" s="229"/>
      <c r="C12" s="241"/>
      <c r="D12" s="242"/>
      <c r="E12" s="17">
        <v>5</v>
      </c>
      <c r="F12" s="22"/>
      <c r="G12" s="22"/>
      <c r="H12" s="23" t="s">
        <v>293</v>
      </c>
      <c r="I12" s="23" t="s">
        <v>293</v>
      </c>
      <c r="J12" s="23" t="s">
        <v>293</v>
      </c>
      <c r="K12" s="22"/>
      <c r="L12" s="23"/>
      <c r="M12" s="22"/>
      <c r="N12" s="22"/>
      <c r="O12" s="33"/>
    </row>
    <row r="13" spans="1:15">
      <c r="A13" s="227"/>
      <c r="B13" s="229"/>
      <c r="C13" s="243"/>
      <c r="D13" s="244"/>
      <c r="E13" s="17">
        <v>6</v>
      </c>
      <c r="F13" s="22"/>
      <c r="G13" s="22"/>
      <c r="H13" s="23" t="s">
        <v>293</v>
      </c>
      <c r="I13" s="23" t="s">
        <v>293</v>
      </c>
      <c r="J13" s="22"/>
      <c r="K13" s="22"/>
      <c r="L13" s="23"/>
      <c r="M13" s="22"/>
      <c r="N13" s="22"/>
      <c r="O13" s="33"/>
    </row>
    <row r="14" spans="1:15">
      <c r="A14" s="227"/>
      <c r="B14" s="229"/>
      <c r="C14" s="237" t="s">
        <v>117</v>
      </c>
      <c r="D14" s="238"/>
      <c r="E14" s="17"/>
      <c r="F14" s="22"/>
      <c r="G14" s="22"/>
      <c r="H14" s="23" t="s">
        <v>293</v>
      </c>
      <c r="I14" s="23" t="s">
        <v>293</v>
      </c>
      <c r="J14" s="23" t="s">
        <v>293</v>
      </c>
      <c r="K14" s="22"/>
      <c r="L14" s="23"/>
      <c r="M14" s="22"/>
      <c r="N14" s="22"/>
      <c r="O14" s="33" t="s">
        <v>542</v>
      </c>
    </row>
    <row r="15" spans="1:15">
      <c r="A15" s="217"/>
      <c r="B15" s="230"/>
      <c r="C15" s="237" t="s">
        <v>127</v>
      </c>
      <c r="D15" s="238"/>
      <c r="E15" s="38">
        <v>1</v>
      </c>
      <c r="F15" s="22"/>
      <c r="G15" s="22"/>
      <c r="H15" s="22"/>
      <c r="I15" s="23"/>
      <c r="J15" s="23"/>
      <c r="K15" s="22"/>
      <c r="L15" s="23"/>
      <c r="M15" s="22"/>
      <c r="N15" s="22"/>
      <c r="O15" s="33" t="s">
        <v>524</v>
      </c>
    </row>
    <row r="16" spans="1:15" ht="16.5" customHeight="1">
      <c r="A16" s="227" t="s">
        <v>166</v>
      </c>
      <c r="B16" s="229"/>
      <c r="C16" s="239" t="s">
        <v>85</v>
      </c>
      <c r="D16" s="240"/>
      <c r="E16" s="39">
        <v>1</v>
      </c>
      <c r="F16" s="23"/>
      <c r="G16" s="23"/>
      <c r="H16" s="23" t="s">
        <v>293</v>
      </c>
      <c r="I16" s="23"/>
      <c r="J16" s="23"/>
      <c r="K16" s="23"/>
      <c r="L16" s="23"/>
      <c r="M16" s="23"/>
      <c r="N16" s="23"/>
      <c r="O16" s="33"/>
    </row>
    <row r="17" spans="1:15" ht="16.5" customHeight="1">
      <c r="A17" s="227"/>
      <c r="B17" s="229"/>
      <c r="C17" s="243"/>
      <c r="D17" s="244"/>
      <c r="E17" s="39">
        <v>2</v>
      </c>
      <c r="F17" s="23"/>
      <c r="G17" s="23"/>
      <c r="H17" s="23" t="s">
        <v>293</v>
      </c>
      <c r="I17" s="23"/>
      <c r="J17" s="23"/>
      <c r="K17" s="23"/>
      <c r="L17" s="23"/>
      <c r="M17" s="23"/>
      <c r="N17" s="23"/>
      <c r="O17" s="33"/>
    </row>
    <row r="18" spans="1:15">
      <c r="A18" s="227"/>
      <c r="B18" s="229"/>
      <c r="C18" s="239" t="s">
        <v>543</v>
      </c>
      <c r="D18" s="240"/>
      <c r="E18" s="39" t="s">
        <v>544</v>
      </c>
      <c r="F18" s="23"/>
      <c r="G18" s="23"/>
      <c r="H18" s="23" t="s">
        <v>507</v>
      </c>
      <c r="I18" s="23"/>
      <c r="J18" s="23"/>
      <c r="K18" s="23"/>
      <c r="L18" s="23"/>
      <c r="M18" s="23"/>
      <c r="N18" s="23"/>
      <c r="O18" s="33"/>
    </row>
    <row r="19" spans="1:15">
      <c r="A19" s="227"/>
      <c r="B19" s="229"/>
      <c r="C19" s="241"/>
      <c r="D19" s="242"/>
      <c r="E19" s="39" t="s">
        <v>545</v>
      </c>
      <c r="F19" s="23"/>
      <c r="G19" s="23"/>
      <c r="H19" s="23" t="s">
        <v>507</v>
      </c>
      <c r="I19" s="23"/>
      <c r="J19" s="23"/>
      <c r="K19" s="23"/>
      <c r="L19" s="23"/>
      <c r="M19" s="23"/>
      <c r="N19" s="23"/>
      <c r="O19" s="33"/>
    </row>
    <row r="20" spans="1:15">
      <c r="A20" s="227"/>
      <c r="B20" s="229"/>
      <c r="C20" s="241"/>
      <c r="D20" s="242"/>
      <c r="E20" s="39" t="s">
        <v>546</v>
      </c>
      <c r="F20" s="23"/>
      <c r="G20" s="23"/>
      <c r="H20" s="23" t="s">
        <v>507</v>
      </c>
      <c r="I20" s="23"/>
      <c r="J20" s="23"/>
      <c r="K20" s="23"/>
      <c r="L20" s="23"/>
      <c r="M20" s="23"/>
      <c r="N20" s="23"/>
      <c r="O20" s="33"/>
    </row>
    <row r="21" spans="1:15">
      <c r="A21" s="227"/>
      <c r="B21" s="229"/>
      <c r="C21" s="241"/>
      <c r="D21" s="242"/>
      <c r="E21" s="39" t="s">
        <v>547</v>
      </c>
      <c r="F21" s="23"/>
      <c r="G21" s="23"/>
      <c r="H21" s="23" t="s">
        <v>507</v>
      </c>
      <c r="I21" s="23"/>
      <c r="J21" s="23"/>
      <c r="K21" s="23"/>
      <c r="L21" s="23"/>
      <c r="M21" s="23"/>
      <c r="N21" s="23"/>
      <c r="O21" s="33"/>
    </row>
    <row r="22" spans="1:15">
      <c r="A22" s="227"/>
      <c r="B22" s="229"/>
      <c r="C22" s="241"/>
      <c r="D22" s="242"/>
      <c r="E22" s="39" t="s">
        <v>548</v>
      </c>
      <c r="F22" s="23"/>
      <c r="G22" s="23"/>
      <c r="H22" s="23" t="s">
        <v>507</v>
      </c>
      <c r="I22" s="23"/>
      <c r="J22" s="23"/>
      <c r="K22" s="23"/>
      <c r="L22" s="23"/>
      <c r="M22" s="23"/>
      <c r="N22" s="23"/>
      <c r="O22" s="33"/>
    </row>
    <row r="23" spans="1:15">
      <c r="A23" s="227"/>
      <c r="B23" s="229"/>
      <c r="C23" s="241"/>
      <c r="D23" s="242"/>
      <c r="E23" s="39" t="s">
        <v>549</v>
      </c>
      <c r="F23" s="23"/>
      <c r="G23" s="23"/>
      <c r="H23" s="23" t="s">
        <v>507</v>
      </c>
      <c r="I23" s="23"/>
      <c r="J23" s="23"/>
      <c r="K23" s="23"/>
      <c r="L23" s="23"/>
      <c r="M23" s="23"/>
      <c r="N23" s="23"/>
      <c r="O23" s="33"/>
    </row>
    <row r="24" spans="1:15">
      <c r="A24" s="227"/>
      <c r="B24" s="229"/>
      <c r="C24" s="241"/>
      <c r="D24" s="242"/>
      <c r="E24" s="39" t="s">
        <v>550</v>
      </c>
      <c r="F24" s="23"/>
      <c r="G24" s="23"/>
      <c r="H24" s="23" t="s">
        <v>507</v>
      </c>
      <c r="I24" s="23"/>
      <c r="J24" s="23"/>
      <c r="K24" s="23"/>
      <c r="L24" s="23"/>
      <c r="M24" s="23"/>
      <c r="N24" s="23"/>
      <c r="O24" s="33"/>
    </row>
    <row r="25" spans="1:15">
      <c r="A25" s="227"/>
      <c r="B25" s="229"/>
      <c r="C25" s="241"/>
      <c r="D25" s="242"/>
      <c r="E25" s="39" t="s">
        <v>551</v>
      </c>
      <c r="F25" s="23"/>
      <c r="G25" s="23"/>
      <c r="H25" s="23" t="s">
        <v>507</v>
      </c>
      <c r="I25" s="23"/>
      <c r="J25" s="23"/>
      <c r="K25" s="23"/>
      <c r="L25" s="23"/>
      <c r="M25" s="23"/>
      <c r="N25" s="23"/>
      <c r="O25" s="33"/>
    </row>
    <row r="26" spans="1:15">
      <c r="A26" s="227"/>
      <c r="B26" s="229"/>
      <c r="C26" s="241"/>
      <c r="D26" s="242"/>
      <c r="E26" s="39" t="s">
        <v>552</v>
      </c>
      <c r="F26" s="23"/>
      <c r="G26" s="23"/>
      <c r="H26" s="23" t="s">
        <v>507</v>
      </c>
      <c r="I26" s="23"/>
      <c r="J26" s="23"/>
      <c r="K26" s="23"/>
      <c r="L26" s="23"/>
      <c r="M26" s="23"/>
      <c r="N26" s="23"/>
      <c r="O26" s="33"/>
    </row>
    <row r="27" spans="1:15">
      <c r="A27" s="227"/>
      <c r="B27" s="229"/>
      <c r="C27" s="241"/>
      <c r="D27" s="242"/>
      <c r="E27" s="39" t="s">
        <v>553</v>
      </c>
      <c r="F27" s="23"/>
      <c r="G27" s="23"/>
      <c r="H27" s="23" t="s">
        <v>507</v>
      </c>
      <c r="I27" s="23"/>
      <c r="J27" s="23"/>
      <c r="K27" s="23"/>
      <c r="L27" s="23"/>
      <c r="M27" s="23"/>
      <c r="N27" s="23"/>
      <c r="O27" s="33"/>
    </row>
    <row r="28" spans="1:15">
      <c r="A28" s="227"/>
      <c r="B28" s="229"/>
      <c r="C28" s="241"/>
      <c r="D28" s="242"/>
      <c r="E28" s="39" t="s">
        <v>554</v>
      </c>
      <c r="F28" s="23"/>
      <c r="G28" s="23"/>
      <c r="H28" s="23" t="s">
        <v>507</v>
      </c>
      <c r="I28" s="23"/>
      <c r="J28" s="23"/>
      <c r="K28" s="23"/>
      <c r="L28" s="23"/>
      <c r="M28" s="23"/>
      <c r="N28" s="23"/>
      <c r="O28" s="33"/>
    </row>
    <row r="29" spans="1:15">
      <c r="A29" s="227"/>
      <c r="B29" s="229"/>
      <c r="C29" s="241"/>
      <c r="D29" s="242"/>
      <c r="E29" s="39" t="s">
        <v>170</v>
      </c>
      <c r="F29" s="23"/>
      <c r="G29" s="23"/>
      <c r="H29" s="23" t="s">
        <v>507</v>
      </c>
      <c r="I29" s="23"/>
      <c r="J29" s="23"/>
      <c r="K29" s="23"/>
      <c r="L29" s="23"/>
      <c r="M29" s="23"/>
      <c r="N29" s="23"/>
      <c r="O29" s="33"/>
    </row>
    <row r="30" spans="1:15">
      <c r="A30" s="227"/>
      <c r="B30" s="229"/>
      <c r="C30" s="239" t="s">
        <v>555</v>
      </c>
      <c r="D30" s="240"/>
      <c r="E30" s="39" t="s">
        <v>556</v>
      </c>
      <c r="F30" s="23"/>
      <c r="G30" s="23"/>
      <c r="H30" s="23" t="s">
        <v>293</v>
      </c>
      <c r="I30" s="23"/>
      <c r="J30" s="23"/>
      <c r="K30" s="23"/>
      <c r="L30" s="23"/>
      <c r="M30" s="23"/>
      <c r="N30" s="23"/>
      <c r="O30" s="33"/>
    </row>
    <row r="31" spans="1:15">
      <c r="A31" s="227"/>
      <c r="B31" s="229"/>
      <c r="C31" s="241"/>
      <c r="D31" s="242"/>
      <c r="E31" s="39" t="s">
        <v>166</v>
      </c>
      <c r="F31" s="23"/>
      <c r="G31" s="23"/>
      <c r="H31" s="23" t="s">
        <v>293</v>
      </c>
      <c r="I31" s="23"/>
      <c r="J31" s="23"/>
      <c r="K31" s="23"/>
      <c r="L31" s="23"/>
      <c r="M31" s="23"/>
      <c r="N31" s="23"/>
      <c r="O31" s="33"/>
    </row>
    <row r="32" spans="1:15">
      <c r="A32" s="227"/>
      <c r="B32" s="229"/>
      <c r="C32" s="241"/>
      <c r="D32" s="242"/>
      <c r="E32" s="39" t="s">
        <v>557</v>
      </c>
      <c r="F32" s="23"/>
      <c r="G32" s="23"/>
      <c r="H32" s="23" t="s">
        <v>293</v>
      </c>
      <c r="I32" s="23"/>
      <c r="J32" s="23"/>
      <c r="K32" s="23"/>
      <c r="L32" s="23"/>
      <c r="M32" s="23"/>
      <c r="N32" s="23"/>
      <c r="O32" s="33"/>
    </row>
    <row r="33" spans="1:15">
      <c r="A33" s="227"/>
      <c r="B33" s="229"/>
      <c r="C33" s="241"/>
      <c r="D33" s="242"/>
      <c r="E33" s="39" t="s">
        <v>558</v>
      </c>
      <c r="F33" s="23"/>
      <c r="G33" s="23"/>
      <c r="H33" s="23" t="s">
        <v>293</v>
      </c>
      <c r="I33" s="23"/>
      <c r="J33" s="23"/>
      <c r="K33" s="23"/>
      <c r="L33" s="23"/>
      <c r="M33" s="23"/>
      <c r="N33" s="23"/>
      <c r="O33" s="33"/>
    </row>
    <row r="34" spans="1:15">
      <c r="A34" s="227"/>
      <c r="B34" s="229"/>
      <c r="C34" s="241"/>
      <c r="D34" s="242"/>
      <c r="E34" s="39" t="s">
        <v>110</v>
      </c>
      <c r="F34" s="23"/>
      <c r="G34" s="23"/>
      <c r="H34" s="23" t="s">
        <v>293</v>
      </c>
      <c r="I34" s="23"/>
      <c r="J34" s="23"/>
      <c r="K34" s="23"/>
      <c r="L34" s="23"/>
      <c r="M34" s="23"/>
      <c r="N34" s="23"/>
      <c r="O34" s="33"/>
    </row>
    <row r="35" spans="1:15">
      <c r="A35" s="227"/>
      <c r="B35" s="229"/>
      <c r="C35" s="241"/>
      <c r="D35" s="242"/>
      <c r="E35" s="39" t="s">
        <v>559</v>
      </c>
      <c r="F35" s="23"/>
      <c r="G35" s="23"/>
      <c r="H35" s="23" t="s">
        <v>293</v>
      </c>
      <c r="I35" s="23"/>
      <c r="J35" s="23"/>
      <c r="K35" s="23"/>
      <c r="L35" s="23"/>
      <c r="M35" s="23"/>
      <c r="N35" s="23"/>
      <c r="O35" s="33"/>
    </row>
    <row r="36" spans="1:15">
      <c r="A36" s="227"/>
      <c r="B36" s="229"/>
      <c r="C36" s="241"/>
      <c r="D36" s="242"/>
      <c r="E36" s="39" t="s">
        <v>112</v>
      </c>
      <c r="F36" s="23"/>
      <c r="G36" s="23"/>
      <c r="H36" s="23"/>
      <c r="I36" s="23"/>
      <c r="J36" s="23"/>
      <c r="K36" s="23"/>
      <c r="L36" s="23"/>
      <c r="M36" s="23"/>
      <c r="N36" s="23"/>
      <c r="O36" s="33" t="s">
        <v>562</v>
      </c>
    </row>
    <row r="37" spans="1:15">
      <c r="A37" s="227"/>
      <c r="B37" s="229"/>
      <c r="C37" s="239" t="s">
        <v>560</v>
      </c>
      <c r="D37" s="240"/>
      <c r="E37" s="39" t="s">
        <v>556</v>
      </c>
      <c r="F37" s="23"/>
      <c r="G37" s="23"/>
      <c r="H37" s="23" t="s">
        <v>293</v>
      </c>
      <c r="I37" s="23"/>
      <c r="J37" s="23"/>
      <c r="K37" s="23"/>
      <c r="L37" s="23"/>
      <c r="M37" s="23"/>
      <c r="N37" s="23"/>
      <c r="O37" s="33"/>
    </row>
    <row r="38" spans="1:15">
      <c r="A38" s="227"/>
      <c r="B38" s="229"/>
      <c r="C38" s="241"/>
      <c r="D38" s="242"/>
      <c r="E38" s="39" t="s">
        <v>166</v>
      </c>
      <c r="F38" s="23"/>
      <c r="G38" s="23"/>
      <c r="H38" s="23" t="s">
        <v>293</v>
      </c>
      <c r="I38" s="23"/>
      <c r="J38" s="23"/>
      <c r="K38" s="23"/>
      <c r="L38" s="23"/>
      <c r="M38" s="23"/>
      <c r="N38" s="23"/>
      <c r="O38" s="33"/>
    </row>
    <row r="39" spans="1:15">
      <c r="A39" s="227"/>
      <c r="B39" s="229"/>
      <c r="C39" s="241"/>
      <c r="D39" s="242"/>
      <c r="E39" s="39" t="s">
        <v>557</v>
      </c>
      <c r="F39" s="23"/>
      <c r="G39" s="23"/>
      <c r="H39" s="23" t="s">
        <v>293</v>
      </c>
      <c r="I39" s="23"/>
      <c r="J39" s="23"/>
      <c r="K39" s="23"/>
      <c r="L39" s="23"/>
      <c r="M39" s="23"/>
      <c r="N39" s="23"/>
      <c r="O39" s="33"/>
    </row>
    <row r="40" spans="1:15">
      <c r="A40" s="227"/>
      <c r="B40" s="229"/>
      <c r="C40" s="241"/>
      <c r="D40" s="242"/>
      <c r="E40" s="39" t="s">
        <v>558</v>
      </c>
      <c r="F40" s="23"/>
      <c r="G40" s="23"/>
      <c r="H40" s="23" t="s">
        <v>293</v>
      </c>
      <c r="I40" s="23"/>
      <c r="J40" s="23"/>
      <c r="K40" s="23"/>
      <c r="L40" s="23"/>
      <c r="M40" s="23"/>
      <c r="N40" s="23"/>
      <c r="O40" s="33"/>
    </row>
    <row r="41" spans="1:15">
      <c r="A41" s="227"/>
      <c r="B41" s="229"/>
      <c r="C41" s="241"/>
      <c r="D41" s="242"/>
      <c r="E41" s="39" t="s">
        <v>110</v>
      </c>
      <c r="F41" s="23"/>
      <c r="G41" s="23"/>
      <c r="H41" s="23" t="s">
        <v>293</v>
      </c>
      <c r="I41" s="23"/>
      <c r="J41" s="23"/>
      <c r="K41" s="23"/>
      <c r="L41" s="23"/>
      <c r="M41" s="23"/>
      <c r="N41" s="23"/>
      <c r="O41" s="33"/>
    </row>
    <row r="42" spans="1:15">
      <c r="A42" s="227"/>
      <c r="B42" s="229"/>
      <c r="C42" s="241"/>
      <c r="D42" s="242"/>
      <c r="E42" s="39" t="s">
        <v>559</v>
      </c>
      <c r="F42" s="23"/>
      <c r="G42" s="23"/>
      <c r="H42" s="23" t="s">
        <v>293</v>
      </c>
      <c r="I42" s="23"/>
      <c r="J42" s="23"/>
      <c r="K42" s="23"/>
      <c r="L42" s="23"/>
      <c r="M42" s="23"/>
      <c r="N42" s="23"/>
      <c r="O42" s="33"/>
    </row>
    <row r="43" spans="1:15" ht="12" customHeight="1">
      <c r="A43" s="227"/>
      <c r="B43" s="229"/>
      <c r="C43" s="239" t="s">
        <v>117</v>
      </c>
      <c r="D43" s="240"/>
      <c r="E43" s="39">
        <v>1</v>
      </c>
      <c r="F43" s="23"/>
      <c r="G43" s="23"/>
      <c r="H43" s="23" t="s">
        <v>293</v>
      </c>
      <c r="I43" s="23"/>
      <c r="J43" s="23"/>
      <c r="K43" s="23"/>
      <c r="L43" s="23"/>
      <c r="M43" s="23"/>
      <c r="N43" s="23"/>
      <c r="O43" s="33" t="s">
        <v>561</v>
      </c>
    </row>
    <row r="44" spans="1:15">
      <c r="A44" s="227"/>
      <c r="B44" s="229"/>
      <c r="C44" s="241"/>
      <c r="D44" s="242"/>
      <c r="E44" s="39">
        <v>2</v>
      </c>
      <c r="F44" s="23"/>
      <c r="G44" s="23"/>
      <c r="H44" s="23"/>
      <c r="I44" s="23"/>
      <c r="J44" s="23"/>
      <c r="K44" s="23"/>
      <c r="L44" s="23"/>
      <c r="M44" s="23"/>
      <c r="N44" s="23"/>
      <c r="O44" s="33" t="s">
        <v>563</v>
      </c>
    </row>
    <row r="45" spans="1:15" ht="12" customHeight="1">
      <c r="A45" s="227"/>
      <c r="B45" s="229"/>
      <c r="C45" s="239" t="s">
        <v>118</v>
      </c>
      <c r="D45" s="240"/>
      <c r="E45" s="39">
        <v>1</v>
      </c>
      <c r="F45" s="23"/>
      <c r="G45" s="23"/>
      <c r="H45" s="23"/>
      <c r="I45" s="23"/>
      <c r="J45" s="23"/>
      <c r="K45" s="23"/>
      <c r="L45" s="23"/>
      <c r="M45" s="23"/>
      <c r="N45" s="23"/>
      <c r="O45" s="33" t="s">
        <v>564</v>
      </c>
    </row>
    <row r="46" spans="1:15">
      <c r="A46" s="227"/>
      <c r="B46" s="229"/>
      <c r="C46" s="241"/>
      <c r="D46" s="242"/>
      <c r="E46" s="39">
        <v>2</v>
      </c>
      <c r="F46" s="23"/>
      <c r="G46" s="23"/>
      <c r="H46" s="23" t="s">
        <v>293</v>
      </c>
      <c r="I46" s="23"/>
      <c r="J46" s="23"/>
      <c r="K46" s="23"/>
      <c r="L46" s="23"/>
      <c r="M46" s="23"/>
      <c r="N46" s="23"/>
      <c r="O46" s="33"/>
    </row>
    <row r="47" spans="1:15">
      <c r="A47" s="227"/>
      <c r="B47" s="229"/>
      <c r="C47" s="241"/>
      <c r="D47" s="242"/>
      <c r="E47" s="39">
        <v>3</v>
      </c>
      <c r="F47" s="23"/>
      <c r="G47" s="23"/>
      <c r="H47" s="23" t="s">
        <v>293</v>
      </c>
      <c r="I47" s="23"/>
      <c r="J47" s="23"/>
      <c r="K47" s="23"/>
      <c r="L47" s="23"/>
      <c r="M47" s="23"/>
      <c r="N47" s="23"/>
      <c r="O47" s="33"/>
    </row>
    <row r="48" spans="1:15">
      <c r="A48" s="227"/>
      <c r="B48" s="229"/>
      <c r="C48" s="241"/>
      <c r="D48" s="242"/>
      <c r="E48" s="39">
        <v>4</v>
      </c>
      <c r="F48" s="23"/>
      <c r="G48" s="23"/>
      <c r="H48" s="23" t="s">
        <v>293</v>
      </c>
      <c r="I48" s="23"/>
      <c r="J48" s="23"/>
      <c r="K48" s="23"/>
      <c r="L48" s="23"/>
      <c r="M48" s="23"/>
      <c r="N48" s="23"/>
      <c r="O48" s="33"/>
    </row>
    <row r="49" spans="1:15">
      <c r="A49" s="45"/>
      <c r="B49" s="46"/>
      <c r="C49" s="237" t="s">
        <v>127</v>
      </c>
      <c r="D49" s="238"/>
      <c r="E49" s="31">
        <v>1</v>
      </c>
      <c r="F49" s="22"/>
      <c r="G49" s="22"/>
      <c r="H49" s="22"/>
      <c r="I49" s="23"/>
      <c r="J49" s="23"/>
      <c r="K49" s="22"/>
      <c r="L49" s="23"/>
      <c r="M49" s="22"/>
      <c r="N49" s="22"/>
      <c r="O49" s="33" t="s">
        <v>524</v>
      </c>
    </row>
    <row r="50" spans="1:15">
      <c r="A50" s="227" t="s">
        <v>168</v>
      </c>
      <c r="B50" s="229"/>
      <c r="C50" s="239" t="s">
        <v>565</v>
      </c>
      <c r="D50" s="240"/>
      <c r="E50" s="39">
        <v>1</v>
      </c>
      <c r="F50" s="23"/>
      <c r="G50" s="23"/>
      <c r="H50" s="23" t="s">
        <v>293</v>
      </c>
      <c r="I50" s="23"/>
      <c r="J50" s="23"/>
      <c r="K50" s="23"/>
      <c r="L50" s="23"/>
      <c r="M50" s="23"/>
      <c r="N50" s="23"/>
      <c r="O50" s="33"/>
    </row>
    <row r="51" spans="1:15">
      <c r="A51" s="227"/>
      <c r="B51" s="229"/>
      <c r="C51" s="241"/>
      <c r="D51" s="242"/>
      <c r="E51" s="39">
        <v>2</v>
      </c>
      <c r="F51" s="23"/>
      <c r="G51" s="23"/>
      <c r="H51" s="23" t="s">
        <v>293</v>
      </c>
      <c r="I51" s="23"/>
      <c r="J51" s="23"/>
      <c r="K51" s="23"/>
      <c r="L51" s="23"/>
      <c r="M51" s="23"/>
      <c r="N51" s="23"/>
      <c r="O51" s="33"/>
    </row>
    <row r="52" spans="1:15">
      <c r="A52" s="227"/>
      <c r="B52" s="229"/>
      <c r="C52" s="241"/>
      <c r="D52" s="242"/>
      <c r="E52" s="39">
        <v>3</v>
      </c>
      <c r="F52" s="23"/>
      <c r="G52" s="23"/>
      <c r="H52" s="23" t="s">
        <v>293</v>
      </c>
      <c r="I52" s="23"/>
      <c r="J52" s="23"/>
      <c r="K52" s="23"/>
      <c r="L52" s="23"/>
      <c r="M52" s="23"/>
      <c r="N52" s="23"/>
      <c r="O52" s="33" t="s">
        <v>567</v>
      </c>
    </row>
    <row r="53" spans="1:15">
      <c r="A53" s="217"/>
      <c r="B53" s="230"/>
      <c r="C53" s="237" t="s">
        <v>127</v>
      </c>
      <c r="D53" s="238"/>
      <c r="E53" s="39">
        <v>1</v>
      </c>
      <c r="F53" s="23"/>
      <c r="G53" s="23"/>
      <c r="H53" s="23" t="s">
        <v>293</v>
      </c>
      <c r="I53" s="23"/>
      <c r="J53" s="23"/>
      <c r="K53" s="23"/>
      <c r="L53" s="23"/>
      <c r="M53" s="23"/>
      <c r="N53" s="23"/>
      <c r="O53" s="33" t="s">
        <v>566</v>
      </c>
    </row>
    <row r="54" spans="1:15">
      <c r="A54" s="17"/>
      <c r="B54" s="23"/>
      <c r="C54" s="23"/>
      <c r="D54" s="28"/>
      <c r="E54" s="40"/>
      <c r="F54" s="23"/>
      <c r="G54" s="23"/>
      <c r="H54" s="23"/>
      <c r="I54" s="23"/>
      <c r="J54" s="23"/>
      <c r="K54" s="23"/>
      <c r="L54" s="23"/>
      <c r="M54" s="23"/>
      <c r="N54" s="23"/>
      <c r="O54" s="33"/>
    </row>
    <row r="55" spans="1:15" ht="46.5" customHeight="1">
      <c r="A55" s="218" t="s">
        <v>615</v>
      </c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</row>
  </sheetData>
  <mergeCells count="31">
    <mergeCell ref="B4:B15"/>
    <mergeCell ref="A55:O55"/>
    <mergeCell ref="C4:D4"/>
    <mergeCell ref="C8:D13"/>
    <mergeCell ref="C14:D14"/>
    <mergeCell ref="C49:D49"/>
    <mergeCell ref="C30:D36"/>
    <mergeCell ref="C37:D42"/>
    <mergeCell ref="A4:A15"/>
    <mergeCell ref="C45:D48"/>
    <mergeCell ref="A50:A53"/>
    <mergeCell ref="B50:B53"/>
    <mergeCell ref="C50:D52"/>
    <mergeCell ref="C53:D53"/>
    <mergeCell ref="C5:D7"/>
    <mergeCell ref="C15:D15"/>
    <mergeCell ref="A16:A48"/>
    <mergeCell ref="B16:B48"/>
    <mergeCell ref="C16:D17"/>
    <mergeCell ref="C18:D29"/>
    <mergeCell ref="C43:D44"/>
    <mergeCell ref="A1:O1"/>
    <mergeCell ref="A2:A3"/>
    <mergeCell ref="B2:B3"/>
    <mergeCell ref="C2:D3"/>
    <mergeCell ref="E2:E3"/>
    <mergeCell ref="F2:G2"/>
    <mergeCell ref="H2:J2"/>
    <mergeCell ref="K2:L2"/>
    <mergeCell ref="M2:N2"/>
    <mergeCell ref="O2:O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topLeftCell="A25" zoomScale="130" zoomScaleNormal="130" workbookViewId="0">
      <selection activeCell="G53" sqref="G53"/>
    </sheetView>
  </sheetViews>
  <sheetFormatPr defaultRowHeight="12"/>
  <cols>
    <col min="1" max="1" width="3.5" style="29" customWidth="1"/>
    <col min="2" max="2" width="3.875" style="24" customWidth="1"/>
    <col min="3" max="3" width="4.25" style="24" customWidth="1"/>
    <col min="4" max="4" width="3.875" style="24" customWidth="1"/>
    <col min="5" max="5" width="4" style="41" customWidth="1"/>
    <col min="6" max="6" width="3.875" style="24" customWidth="1"/>
    <col min="7" max="7" width="3.75" style="24" customWidth="1"/>
    <col min="8" max="8" width="3.875" style="24" customWidth="1"/>
    <col min="9" max="9" width="4" style="24" customWidth="1"/>
    <col min="10" max="10" width="3.75" style="24" customWidth="1"/>
    <col min="11" max="11" width="3.875" style="24" customWidth="1"/>
    <col min="12" max="12" width="4" style="24" customWidth="1"/>
    <col min="13" max="13" width="3.625" style="24" customWidth="1"/>
    <col min="14" max="14" width="4" style="24" customWidth="1"/>
    <col min="15" max="15" width="22.625" style="24" customWidth="1"/>
    <col min="16" max="16384" width="9" style="24"/>
  </cols>
  <sheetData>
    <row r="1" spans="1:15" ht="17.25" customHeight="1">
      <c r="A1" s="245" t="s">
        <v>590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1:15">
      <c r="A2" s="247" t="s">
        <v>96</v>
      </c>
      <c r="B2" s="248" t="s">
        <v>97</v>
      </c>
      <c r="C2" s="239" t="s">
        <v>98</v>
      </c>
      <c r="D2" s="240"/>
      <c r="E2" s="216" t="s">
        <v>129</v>
      </c>
      <c r="F2" s="248" t="s">
        <v>105</v>
      </c>
      <c r="G2" s="248"/>
      <c r="H2" s="248" t="s">
        <v>102</v>
      </c>
      <c r="I2" s="248"/>
      <c r="J2" s="248"/>
      <c r="K2" s="248" t="s">
        <v>128</v>
      </c>
      <c r="L2" s="248"/>
      <c r="M2" s="237" t="s">
        <v>295</v>
      </c>
      <c r="N2" s="238"/>
      <c r="O2" s="248" t="s">
        <v>101</v>
      </c>
    </row>
    <row r="3" spans="1:15" ht="25.5" customHeight="1">
      <c r="A3" s="247"/>
      <c r="B3" s="248"/>
      <c r="C3" s="243"/>
      <c r="D3" s="244"/>
      <c r="E3" s="217"/>
      <c r="F3" s="22" t="s">
        <v>103</v>
      </c>
      <c r="G3" s="22" t="s">
        <v>104</v>
      </c>
      <c r="H3" s="22" t="s">
        <v>99</v>
      </c>
      <c r="I3" s="22" t="s">
        <v>100</v>
      </c>
      <c r="J3" s="22" t="s">
        <v>537</v>
      </c>
      <c r="K3" s="22" t="s">
        <v>99</v>
      </c>
      <c r="L3" s="22" t="s">
        <v>100</v>
      </c>
      <c r="M3" s="22" t="s">
        <v>99</v>
      </c>
      <c r="N3" s="22" t="s">
        <v>100</v>
      </c>
      <c r="O3" s="248"/>
    </row>
    <row r="4" spans="1:15">
      <c r="A4" s="216" t="s">
        <v>569</v>
      </c>
      <c r="B4" s="228"/>
      <c r="C4" s="239" t="s">
        <v>570</v>
      </c>
      <c r="D4" s="240"/>
      <c r="E4" s="44">
        <v>1</v>
      </c>
      <c r="F4" s="22"/>
      <c r="G4" s="22"/>
      <c r="H4" s="23" t="s">
        <v>293</v>
      </c>
      <c r="I4" s="23"/>
      <c r="J4" s="23" t="s">
        <v>293</v>
      </c>
      <c r="K4" s="22"/>
      <c r="L4" s="22"/>
      <c r="M4" s="22"/>
      <c r="N4" s="22"/>
      <c r="O4" s="22"/>
    </row>
    <row r="5" spans="1:15">
      <c r="A5" s="227"/>
      <c r="B5" s="229"/>
      <c r="C5" s="241"/>
      <c r="D5" s="242"/>
      <c r="E5" s="44" t="s">
        <v>571</v>
      </c>
      <c r="F5" s="22"/>
      <c r="G5" s="22"/>
      <c r="H5" s="23" t="s">
        <v>293</v>
      </c>
      <c r="I5" s="23"/>
      <c r="J5" s="23"/>
      <c r="K5" s="22"/>
      <c r="L5" s="22"/>
      <c r="M5" s="22"/>
      <c r="N5" s="22"/>
      <c r="O5" s="22"/>
    </row>
    <row r="6" spans="1:15">
      <c r="A6" s="227"/>
      <c r="B6" s="229"/>
      <c r="C6" s="243"/>
      <c r="D6" s="244"/>
      <c r="E6" s="44" t="s">
        <v>557</v>
      </c>
      <c r="F6" s="22"/>
      <c r="G6" s="22"/>
      <c r="H6" s="23" t="s">
        <v>293</v>
      </c>
      <c r="I6" s="23"/>
      <c r="J6" s="23"/>
      <c r="K6" s="22"/>
      <c r="L6" s="22"/>
      <c r="M6" s="22"/>
      <c r="N6" s="22"/>
      <c r="O6" s="22"/>
    </row>
    <row r="7" spans="1:15" ht="12" customHeight="1">
      <c r="A7" s="227"/>
      <c r="B7" s="229"/>
      <c r="C7" s="239" t="s">
        <v>582</v>
      </c>
      <c r="D7" s="240"/>
      <c r="E7" s="31" t="s">
        <v>581</v>
      </c>
      <c r="F7" s="22"/>
      <c r="G7" s="22"/>
      <c r="H7" s="23" t="s">
        <v>293</v>
      </c>
      <c r="I7" s="23"/>
      <c r="J7" s="23" t="s">
        <v>483</v>
      </c>
      <c r="K7" s="22"/>
      <c r="L7" s="23"/>
      <c r="M7" s="22"/>
      <c r="N7" s="22"/>
      <c r="O7" s="22"/>
    </row>
    <row r="8" spans="1:15" ht="12" customHeight="1">
      <c r="A8" s="227"/>
      <c r="B8" s="229"/>
      <c r="C8" s="241"/>
      <c r="D8" s="242"/>
      <c r="E8" s="31" t="s">
        <v>580</v>
      </c>
      <c r="F8" s="22"/>
      <c r="G8" s="22"/>
      <c r="H8" s="23" t="s">
        <v>293</v>
      </c>
      <c r="I8" s="23"/>
      <c r="J8" s="23"/>
      <c r="K8" s="22"/>
      <c r="L8" s="23"/>
      <c r="M8" s="22"/>
      <c r="N8" s="22"/>
      <c r="O8" s="22"/>
    </row>
    <row r="9" spans="1:15" ht="12" customHeight="1">
      <c r="A9" s="227"/>
      <c r="B9" s="229"/>
      <c r="C9" s="241" t="s">
        <v>583</v>
      </c>
      <c r="D9" s="242"/>
      <c r="E9" s="31" t="s">
        <v>556</v>
      </c>
      <c r="F9" s="22"/>
      <c r="G9" s="22"/>
      <c r="H9" s="23" t="s">
        <v>293</v>
      </c>
      <c r="I9" s="23" t="s">
        <v>293</v>
      </c>
      <c r="J9" s="23" t="s">
        <v>293</v>
      </c>
      <c r="K9" s="22"/>
      <c r="L9" s="23"/>
      <c r="M9" s="22"/>
      <c r="N9" s="22"/>
      <c r="O9" s="22"/>
    </row>
    <row r="10" spans="1:15">
      <c r="A10" s="227"/>
      <c r="B10" s="229"/>
      <c r="C10" s="241"/>
      <c r="D10" s="242"/>
      <c r="E10" s="31" t="s">
        <v>571</v>
      </c>
      <c r="F10" s="22"/>
      <c r="G10" s="22"/>
      <c r="H10" s="23" t="s">
        <v>293</v>
      </c>
      <c r="I10" s="23"/>
      <c r="J10" s="23"/>
      <c r="K10" s="22"/>
      <c r="L10" s="23"/>
      <c r="M10" s="22"/>
      <c r="N10" s="22"/>
      <c r="O10" s="22"/>
    </row>
    <row r="11" spans="1:15">
      <c r="A11" s="227"/>
      <c r="B11" s="229"/>
      <c r="C11" s="241"/>
      <c r="D11" s="242"/>
      <c r="E11" s="31" t="s">
        <v>168</v>
      </c>
      <c r="F11" s="22"/>
      <c r="G11" s="22"/>
      <c r="H11" s="23" t="s">
        <v>293</v>
      </c>
      <c r="I11" s="23" t="s">
        <v>293</v>
      </c>
      <c r="J11" s="23" t="s">
        <v>293</v>
      </c>
      <c r="K11" s="22"/>
      <c r="L11" s="23"/>
      <c r="M11" s="22"/>
      <c r="N11" s="22"/>
      <c r="O11" s="22"/>
    </row>
    <row r="12" spans="1:15">
      <c r="A12" s="227"/>
      <c r="B12" s="229"/>
      <c r="C12" s="241"/>
      <c r="D12" s="242"/>
      <c r="E12" s="31" t="s">
        <v>573</v>
      </c>
      <c r="F12" s="22"/>
      <c r="G12" s="22"/>
      <c r="H12" s="23" t="s">
        <v>293</v>
      </c>
      <c r="I12" s="23"/>
      <c r="J12" s="23"/>
      <c r="K12" s="22"/>
      <c r="L12" s="23"/>
      <c r="M12" s="22"/>
      <c r="N12" s="22"/>
      <c r="O12" s="22"/>
    </row>
    <row r="13" spans="1:15">
      <c r="A13" s="227"/>
      <c r="B13" s="229"/>
      <c r="C13" s="241"/>
      <c r="D13" s="242"/>
      <c r="E13" s="31" t="s">
        <v>110</v>
      </c>
      <c r="F13" s="22"/>
      <c r="G13" s="22"/>
      <c r="H13" s="23" t="s">
        <v>293</v>
      </c>
      <c r="I13" s="23"/>
      <c r="J13" s="23"/>
      <c r="K13" s="22"/>
      <c r="L13" s="23"/>
      <c r="M13" s="22"/>
      <c r="N13" s="22"/>
      <c r="O13" s="22"/>
    </row>
    <row r="14" spans="1:15">
      <c r="A14" s="227"/>
      <c r="B14" s="229"/>
      <c r="C14" s="241"/>
      <c r="D14" s="242"/>
      <c r="E14" s="31" t="s">
        <v>111</v>
      </c>
      <c r="F14" s="22"/>
      <c r="G14" s="22"/>
      <c r="H14" s="23" t="s">
        <v>293</v>
      </c>
      <c r="I14" s="23"/>
      <c r="J14" s="23"/>
      <c r="K14" s="22"/>
      <c r="L14" s="23"/>
      <c r="M14" s="22"/>
      <c r="N14" s="22"/>
      <c r="O14" s="22"/>
    </row>
    <row r="15" spans="1:15">
      <c r="A15" s="227"/>
      <c r="B15" s="229"/>
      <c r="C15" s="241"/>
      <c r="D15" s="242"/>
      <c r="E15" s="31" t="s">
        <v>574</v>
      </c>
      <c r="F15" s="22"/>
      <c r="G15" s="22"/>
      <c r="H15" s="23" t="s">
        <v>293</v>
      </c>
      <c r="I15" s="23"/>
      <c r="J15" s="23"/>
      <c r="K15" s="22"/>
      <c r="L15" s="23"/>
      <c r="M15" s="22"/>
      <c r="N15" s="22"/>
      <c r="O15" s="22"/>
    </row>
    <row r="16" spans="1:15">
      <c r="A16" s="227"/>
      <c r="B16" s="229"/>
      <c r="C16" s="241"/>
      <c r="D16" s="242"/>
      <c r="E16" s="31" t="s">
        <v>575</v>
      </c>
      <c r="F16" s="22"/>
      <c r="G16" s="22"/>
      <c r="H16" s="23" t="s">
        <v>293</v>
      </c>
      <c r="I16" s="23"/>
      <c r="J16" s="23"/>
      <c r="K16" s="22"/>
      <c r="L16" s="23"/>
      <c r="M16" s="22"/>
      <c r="N16" s="22"/>
      <c r="O16" s="22"/>
    </row>
    <row r="17" spans="1:15">
      <c r="A17" s="227"/>
      <c r="B17" s="229"/>
      <c r="C17" s="241"/>
      <c r="D17" s="242"/>
      <c r="E17" s="31" t="s">
        <v>576</v>
      </c>
      <c r="F17" s="22"/>
      <c r="G17" s="22"/>
      <c r="H17" s="23" t="s">
        <v>293</v>
      </c>
      <c r="I17" s="23"/>
      <c r="J17" s="23"/>
      <c r="K17" s="22"/>
      <c r="L17" s="23"/>
      <c r="M17" s="22"/>
      <c r="N17" s="22"/>
      <c r="O17" s="22"/>
    </row>
    <row r="18" spans="1:15">
      <c r="A18" s="227"/>
      <c r="B18" s="229"/>
      <c r="C18" s="241"/>
      <c r="D18" s="242"/>
      <c r="E18" s="31" t="s">
        <v>577</v>
      </c>
      <c r="F18" s="22"/>
      <c r="G18" s="22"/>
      <c r="H18" s="23" t="s">
        <v>293</v>
      </c>
      <c r="I18" s="23"/>
      <c r="J18" s="23"/>
      <c r="K18" s="22"/>
      <c r="L18" s="23"/>
      <c r="M18" s="22"/>
      <c r="N18" s="22"/>
      <c r="O18" s="22"/>
    </row>
    <row r="19" spans="1:15">
      <c r="A19" s="227"/>
      <c r="B19" s="229"/>
      <c r="C19" s="241"/>
      <c r="D19" s="242"/>
      <c r="E19" s="31" t="s">
        <v>578</v>
      </c>
      <c r="F19" s="22"/>
      <c r="G19" s="22"/>
      <c r="H19" s="23" t="s">
        <v>293</v>
      </c>
      <c r="I19" s="23"/>
      <c r="J19" s="23"/>
      <c r="K19" s="22"/>
      <c r="L19" s="23"/>
      <c r="M19" s="22"/>
      <c r="N19" s="22"/>
      <c r="O19" s="22"/>
    </row>
    <row r="20" spans="1:15">
      <c r="A20" s="227"/>
      <c r="B20" s="229"/>
      <c r="C20" s="243"/>
      <c r="D20" s="244"/>
      <c r="E20" s="31" t="s">
        <v>579</v>
      </c>
      <c r="F20" s="22"/>
      <c r="G20" s="22"/>
      <c r="H20" s="23" t="s">
        <v>293</v>
      </c>
      <c r="I20" s="23" t="s">
        <v>293</v>
      </c>
      <c r="J20" s="22"/>
      <c r="K20" s="22"/>
      <c r="L20" s="23"/>
      <c r="M20" s="22"/>
      <c r="N20" s="22"/>
      <c r="O20" s="22"/>
    </row>
    <row r="21" spans="1:15" ht="12" customHeight="1">
      <c r="A21" s="227"/>
      <c r="B21" s="229"/>
      <c r="C21" s="239" t="s">
        <v>86</v>
      </c>
      <c r="D21" s="240"/>
      <c r="E21" s="31" t="s">
        <v>164</v>
      </c>
      <c r="F21" s="22"/>
      <c r="G21" s="22"/>
      <c r="H21" s="23" t="s">
        <v>293</v>
      </c>
      <c r="I21" s="23" t="s">
        <v>293</v>
      </c>
      <c r="J21" s="23" t="s">
        <v>293</v>
      </c>
      <c r="K21" s="22"/>
      <c r="L21" s="23"/>
      <c r="M21" s="22"/>
      <c r="N21" s="22"/>
      <c r="O21" s="22"/>
    </row>
    <row r="22" spans="1:15" ht="12" customHeight="1">
      <c r="A22" s="217"/>
      <c r="B22" s="230"/>
      <c r="C22" s="243"/>
      <c r="D22" s="244"/>
      <c r="E22" s="31" t="s">
        <v>166</v>
      </c>
      <c r="F22" s="22"/>
      <c r="G22" s="22"/>
      <c r="H22" s="23" t="s">
        <v>293</v>
      </c>
      <c r="I22" s="23"/>
      <c r="J22" s="23"/>
      <c r="K22" s="22"/>
      <c r="L22" s="23"/>
      <c r="M22" s="22"/>
      <c r="N22" s="22"/>
      <c r="O22" s="22"/>
    </row>
    <row r="23" spans="1:15" ht="24">
      <c r="A23" s="30" t="s">
        <v>584</v>
      </c>
      <c r="B23" s="32"/>
      <c r="C23" s="237" t="s">
        <v>572</v>
      </c>
      <c r="D23" s="238"/>
      <c r="E23" s="39">
        <v>1</v>
      </c>
      <c r="F23" s="23"/>
      <c r="G23" s="23"/>
      <c r="H23" s="23" t="s">
        <v>293</v>
      </c>
      <c r="I23" s="23" t="s">
        <v>293</v>
      </c>
      <c r="J23" s="23"/>
      <c r="K23" s="23"/>
      <c r="L23" s="23"/>
      <c r="M23" s="23"/>
      <c r="N23" s="23"/>
      <c r="O23" s="23"/>
    </row>
    <row r="24" spans="1:15" ht="20.25" customHeight="1">
      <c r="A24" s="255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7"/>
    </row>
    <row r="25" spans="1:15" ht="18" customHeight="1">
      <c r="A25" s="252" t="s">
        <v>591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4"/>
    </row>
    <row r="26" spans="1:15">
      <c r="A26" s="247" t="s">
        <v>96</v>
      </c>
      <c r="B26" s="248" t="s">
        <v>97</v>
      </c>
      <c r="C26" s="248" t="s">
        <v>98</v>
      </c>
      <c r="D26" s="248"/>
      <c r="E26" s="247" t="s">
        <v>129</v>
      </c>
      <c r="F26" s="248" t="s">
        <v>105</v>
      </c>
      <c r="G26" s="248"/>
      <c r="H26" s="248" t="s">
        <v>102</v>
      </c>
      <c r="I26" s="248"/>
      <c r="J26" s="248"/>
      <c r="K26" s="248" t="s">
        <v>128</v>
      </c>
      <c r="L26" s="248"/>
      <c r="M26" s="248" t="s">
        <v>295</v>
      </c>
      <c r="N26" s="248"/>
      <c r="O26" s="248" t="s">
        <v>101</v>
      </c>
    </row>
    <row r="27" spans="1:15" ht="25.5" customHeight="1">
      <c r="A27" s="247"/>
      <c r="B27" s="248"/>
      <c r="C27" s="248"/>
      <c r="D27" s="248"/>
      <c r="E27" s="247"/>
      <c r="F27" s="22" t="s">
        <v>103</v>
      </c>
      <c r="G27" s="22" t="s">
        <v>104</v>
      </c>
      <c r="H27" s="22" t="s">
        <v>99</v>
      </c>
      <c r="I27" s="22" t="s">
        <v>100</v>
      </c>
      <c r="J27" s="22" t="s">
        <v>537</v>
      </c>
      <c r="K27" s="22" t="s">
        <v>99</v>
      </c>
      <c r="L27" s="22" t="s">
        <v>100</v>
      </c>
      <c r="M27" s="22" t="s">
        <v>99</v>
      </c>
      <c r="N27" s="22" t="s">
        <v>100</v>
      </c>
      <c r="O27" s="248"/>
    </row>
    <row r="28" spans="1:15" ht="23.25" customHeight="1">
      <c r="A28" s="216" t="s">
        <v>586</v>
      </c>
      <c r="B28" s="228"/>
      <c r="C28" s="241" t="s">
        <v>588</v>
      </c>
      <c r="D28" s="242"/>
      <c r="E28" s="42">
        <v>1</v>
      </c>
      <c r="F28" s="43"/>
      <c r="G28" s="43"/>
      <c r="H28" s="43" t="s">
        <v>293</v>
      </c>
      <c r="I28" s="43" t="s">
        <v>507</v>
      </c>
      <c r="J28" s="43" t="s">
        <v>293</v>
      </c>
      <c r="K28" s="43"/>
      <c r="L28" s="43"/>
      <c r="M28" s="43"/>
      <c r="N28" s="43"/>
      <c r="O28" s="43" t="s">
        <v>589</v>
      </c>
    </row>
    <row r="29" spans="1:15">
      <c r="A29" s="227"/>
      <c r="B29" s="229"/>
      <c r="C29" s="248" t="s">
        <v>86</v>
      </c>
      <c r="D29" s="248"/>
      <c r="E29" s="39">
        <v>1</v>
      </c>
      <c r="F29" s="23"/>
      <c r="G29" s="23"/>
      <c r="H29" s="23" t="s">
        <v>293</v>
      </c>
      <c r="I29" s="23" t="s">
        <v>507</v>
      </c>
      <c r="J29" s="23"/>
      <c r="K29" s="23"/>
      <c r="L29" s="23"/>
      <c r="M29" s="23"/>
      <c r="N29" s="23"/>
      <c r="O29" s="23" t="s">
        <v>593</v>
      </c>
    </row>
    <row r="30" spans="1:15">
      <c r="A30" s="227"/>
      <c r="B30" s="229"/>
      <c r="C30" s="248"/>
      <c r="D30" s="248"/>
      <c r="E30" s="42" t="s">
        <v>166</v>
      </c>
      <c r="F30" s="43"/>
      <c r="G30" s="43"/>
      <c r="H30" s="23" t="s">
        <v>293</v>
      </c>
      <c r="I30" s="43"/>
      <c r="J30" s="43"/>
      <c r="K30" s="43"/>
      <c r="L30" s="43"/>
      <c r="M30" s="43"/>
      <c r="N30" s="43"/>
      <c r="O30" s="43" t="s">
        <v>593</v>
      </c>
    </row>
    <row r="31" spans="1:15">
      <c r="A31" s="227"/>
      <c r="B31" s="229"/>
      <c r="C31" s="248" t="s">
        <v>117</v>
      </c>
      <c r="D31" s="248"/>
      <c r="E31" s="42" t="s">
        <v>164</v>
      </c>
      <c r="F31" s="43"/>
      <c r="G31" s="43"/>
      <c r="H31" s="23" t="s">
        <v>293</v>
      </c>
      <c r="I31" s="43"/>
      <c r="J31" s="43"/>
      <c r="K31" s="43"/>
      <c r="L31" s="43"/>
      <c r="M31" s="43"/>
      <c r="N31" s="43"/>
      <c r="O31" s="43" t="s">
        <v>592</v>
      </c>
    </row>
    <row r="32" spans="1:15">
      <c r="A32" s="227"/>
      <c r="B32" s="229"/>
      <c r="C32" s="248" t="s">
        <v>572</v>
      </c>
      <c r="D32" s="248"/>
      <c r="E32" s="42" t="s">
        <v>164</v>
      </c>
      <c r="F32" s="43"/>
      <c r="G32" s="43"/>
      <c r="H32" s="23" t="s">
        <v>293</v>
      </c>
      <c r="I32" s="23" t="s">
        <v>293</v>
      </c>
      <c r="J32" s="23" t="s">
        <v>293</v>
      </c>
      <c r="K32" s="43"/>
      <c r="L32" s="43"/>
      <c r="M32" s="43"/>
      <c r="N32" s="43"/>
      <c r="O32" s="43"/>
    </row>
    <row r="33" spans="1:15">
      <c r="A33" s="227"/>
      <c r="B33" s="229"/>
      <c r="C33" s="248" t="s">
        <v>594</v>
      </c>
      <c r="D33" s="248"/>
      <c r="E33" s="42" t="s">
        <v>595</v>
      </c>
      <c r="F33" s="43"/>
      <c r="G33" s="43"/>
      <c r="H33" s="23" t="s">
        <v>293</v>
      </c>
      <c r="I33" s="43"/>
      <c r="J33" s="23" t="s">
        <v>293</v>
      </c>
      <c r="K33" s="43"/>
      <c r="L33" s="43"/>
      <c r="M33" s="43"/>
      <c r="N33" s="43"/>
      <c r="O33" s="43"/>
    </row>
    <row r="34" spans="1:15">
      <c r="A34" s="247" t="s">
        <v>587</v>
      </c>
      <c r="B34" s="248"/>
      <c r="C34" s="248" t="s">
        <v>596</v>
      </c>
      <c r="D34" s="248"/>
      <c r="E34" s="42">
        <v>1</v>
      </c>
      <c r="F34" s="43"/>
      <c r="G34" s="43"/>
      <c r="H34" s="43" t="s">
        <v>293</v>
      </c>
      <c r="I34" s="43" t="s">
        <v>507</v>
      </c>
      <c r="J34" s="43" t="s">
        <v>293</v>
      </c>
      <c r="K34" s="43"/>
      <c r="L34" s="43"/>
      <c r="M34" s="43"/>
      <c r="N34" s="43"/>
      <c r="O34" s="43"/>
    </row>
    <row r="35" spans="1:15">
      <c r="A35" s="247"/>
      <c r="B35" s="248"/>
      <c r="C35" s="248" t="s">
        <v>117</v>
      </c>
      <c r="D35" s="248"/>
      <c r="E35" s="39">
        <v>1</v>
      </c>
      <c r="F35" s="23"/>
      <c r="G35" s="23"/>
      <c r="H35" s="23" t="s">
        <v>293</v>
      </c>
      <c r="I35" s="23" t="s">
        <v>507</v>
      </c>
      <c r="J35" s="43" t="s">
        <v>293</v>
      </c>
      <c r="K35" s="23"/>
      <c r="L35" s="23"/>
      <c r="M35" s="23"/>
      <c r="N35" s="23"/>
      <c r="O35" s="23"/>
    </row>
    <row r="36" spans="1:15" ht="20.25" customHeight="1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</row>
    <row r="37" spans="1:15" ht="16.5" customHeight="1">
      <c r="A37" s="252" t="s">
        <v>601</v>
      </c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4"/>
    </row>
    <row r="38" spans="1:15">
      <c r="A38" s="247" t="s">
        <v>96</v>
      </c>
      <c r="B38" s="248" t="s">
        <v>97</v>
      </c>
      <c r="C38" s="248" t="s">
        <v>98</v>
      </c>
      <c r="D38" s="248"/>
      <c r="E38" s="247" t="s">
        <v>129</v>
      </c>
      <c r="F38" s="248" t="s">
        <v>105</v>
      </c>
      <c r="G38" s="248"/>
      <c r="H38" s="248" t="s">
        <v>102</v>
      </c>
      <c r="I38" s="248"/>
      <c r="J38" s="248"/>
      <c r="K38" s="248" t="s">
        <v>128</v>
      </c>
      <c r="L38" s="248"/>
      <c r="M38" s="248" t="s">
        <v>295</v>
      </c>
      <c r="N38" s="248"/>
      <c r="O38" s="248" t="s">
        <v>101</v>
      </c>
    </row>
    <row r="39" spans="1:15" ht="25.5" customHeight="1">
      <c r="A39" s="247"/>
      <c r="B39" s="248"/>
      <c r="C39" s="248"/>
      <c r="D39" s="248"/>
      <c r="E39" s="247"/>
      <c r="F39" s="22" t="s">
        <v>103</v>
      </c>
      <c r="G39" s="22" t="s">
        <v>104</v>
      </c>
      <c r="H39" s="22" t="s">
        <v>99</v>
      </c>
      <c r="I39" s="22" t="s">
        <v>100</v>
      </c>
      <c r="J39" s="22" t="s">
        <v>537</v>
      </c>
      <c r="K39" s="22" t="s">
        <v>99</v>
      </c>
      <c r="L39" s="22" t="s">
        <v>100</v>
      </c>
      <c r="M39" s="22" t="s">
        <v>99</v>
      </c>
      <c r="N39" s="22" t="s">
        <v>100</v>
      </c>
      <c r="O39" s="248"/>
    </row>
    <row r="40" spans="1:15" ht="25.5" customHeight="1">
      <c r="A40" s="216"/>
      <c r="B40" s="228"/>
      <c r="C40" s="239" t="s">
        <v>597</v>
      </c>
      <c r="D40" s="240"/>
      <c r="E40" s="44" t="s">
        <v>164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ht="23.25" customHeight="1">
      <c r="A41" s="227"/>
      <c r="B41" s="229"/>
      <c r="C41" s="243"/>
      <c r="D41" s="244"/>
      <c r="E41" s="42" t="s">
        <v>166</v>
      </c>
      <c r="F41" s="43"/>
      <c r="G41" s="43"/>
      <c r="H41" s="43" t="s">
        <v>293</v>
      </c>
      <c r="I41" s="43" t="s">
        <v>293</v>
      </c>
      <c r="J41" s="43"/>
      <c r="K41" s="43"/>
      <c r="L41" s="43"/>
      <c r="M41" s="43"/>
      <c r="N41" s="43"/>
      <c r="O41" s="43"/>
    </row>
    <row r="42" spans="1:15">
      <c r="A42" s="227"/>
      <c r="B42" s="229"/>
      <c r="C42" s="239" t="s">
        <v>86</v>
      </c>
      <c r="D42" s="240"/>
      <c r="E42" s="39">
        <v>1</v>
      </c>
      <c r="F42" s="23"/>
      <c r="G42" s="23"/>
      <c r="H42" s="23" t="s">
        <v>293</v>
      </c>
      <c r="I42" s="43" t="s">
        <v>293</v>
      </c>
      <c r="J42" s="23"/>
      <c r="K42" s="23"/>
      <c r="L42" s="23"/>
      <c r="M42" s="23"/>
      <c r="N42" s="23"/>
      <c r="O42" s="23"/>
    </row>
    <row r="43" spans="1:15">
      <c r="A43" s="227"/>
      <c r="B43" s="229"/>
      <c r="C43" s="241"/>
      <c r="D43" s="242"/>
      <c r="E43" s="42" t="s">
        <v>166</v>
      </c>
      <c r="F43" s="43"/>
      <c r="G43" s="43"/>
      <c r="H43" s="23" t="s">
        <v>293</v>
      </c>
      <c r="I43" s="43" t="s">
        <v>293</v>
      </c>
      <c r="J43" s="43"/>
      <c r="K43" s="43"/>
      <c r="L43" s="43"/>
      <c r="M43" s="43"/>
      <c r="N43" s="43"/>
      <c r="O43" s="43"/>
    </row>
    <row r="44" spans="1:15" ht="12" customHeight="1">
      <c r="A44" s="227"/>
      <c r="B44" s="229"/>
      <c r="C44" s="241"/>
      <c r="D44" s="242"/>
      <c r="E44" s="42" t="s">
        <v>168</v>
      </c>
      <c r="F44" s="43"/>
      <c r="G44" s="43"/>
      <c r="H44" s="23" t="s">
        <v>293</v>
      </c>
      <c r="I44" s="43" t="s">
        <v>293</v>
      </c>
      <c r="J44" s="43"/>
      <c r="K44" s="43"/>
      <c r="L44" s="43"/>
      <c r="M44" s="43"/>
      <c r="N44" s="43"/>
      <c r="O44" s="43"/>
    </row>
    <row r="45" spans="1:15" ht="12" customHeight="1">
      <c r="A45" s="227"/>
      <c r="B45" s="229"/>
      <c r="C45" s="241"/>
      <c r="D45" s="242"/>
      <c r="E45" s="42" t="s">
        <v>598</v>
      </c>
      <c r="F45" s="43"/>
      <c r="G45" s="43"/>
      <c r="H45" s="23" t="s">
        <v>293</v>
      </c>
      <c r="I45" s="23" t="s">
        <v>293</v>
      </c>
      <c r="J45" s="23"/>
      <c r="K45" s="43"/>
      <c r="L45" s="43"/>
      <c r="M45" s="43"/>
      <c r="N45" s="43"/>
      <c r="O45" s="43"/>
    </row>
    <row r="46" spans="1:15" ht="12" customHeight="1">
      <c r="A46" s="227"/>
      <c r="B46" s="229"/>
      <c r="C46" s="241"/>
      <c r="D46" s="242"/>
      <c r="E46" s="42" t="s">
        <v>110</v>
      </c>
      <c r="F46" s="43"/>
      <c r="G46" s="43"/>
      <c r="H46" s="23" t="s">
        <v>293</v>
      </c>
      <c r="I46" s="43" t="s">
        <v>293</v>
      </c>
      <c r="J46" s="23"/>
      <c r="K46" s="43"/>
      <c r="L46" s="43"/>
      <c r="M46" s="43"/>
      <c r="N46" s="43"/>
      <c r="O46" s="43"/>
    </row>
    <row r="47" spans="1:15" ht="12" customHeight="1">
      <c r="A47" s="227"/>
      <c r="B47" s="229"/>
      <c r="C47" s="243"/>
      <c r="D47" s="244"/>
      <c r="E47" s="42" t="s">
        <v>599</v>
      </c>
      <c r="F47" s="43"/>
      <c r="G47" s="43"/>
      <c r="H47" s="43" t="s">
        <v>293</v>
      </c>
      <c r="I47" s="43" t="s">
        <v>293</v>
      </c>
      <c r="J47" s="43"/>
      <c r="K47" s="43"/>
      <c r="L47" s="43"/>
      <c r="M47" s="43"/>
      <c r="N47" s="43"/>
      <c r="O47" s="43"/>
    </row>
    <row r="48" spans="1:15">
      <c r="A48" s="217"/>
      <c r="B48" s="230"/>
      <c r="C48" s="248" t="s">
        <v>117</v>
      </c>
      <c r="D48" s="248"/>
      <c r="E48" s="39">
        <v>1</v>
      </c>
      <c r="F48" s="23"/>
      <c r="G48" s="23"/>
      <c r="H48" s="23" t="s">
        <v>293</v>
      </c>
      <c r="I48" s="43" t="s">
        <v>293</v>
      </c>
      <c r="J48" s="43"/>
      <c r="K48" s="23"/>
      <c r="L48" s="23"/>
      <c r="M48" s="23"/>
      <c r="N48" s="23"/>
      <c r="O48" s="23" t="s">
        <v>600</v>
      </c>
    </row>
    <row r="49" spans="1:15" ht="26.25" customHeight="1">
      <c r="A49" s="210" t="s">
        <v>603</v>
      </c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</row>
  </sheetData>
  <mergeCells count="56">
    <mergeCell ref="C48:D48"/>
    <mergeCell ref="A49:O49"/>
    <mergeCell ref="C40:D41"/>
    <mergeCell ref="B40:B48"/>
    <mergeCell ref="A40:A48"/>
    <mergeCell ref="C42:D47"/>
    <mergeCell ref="O38:O39"/>
    <mergeCell ref="C38:D39"/>
    <mergeCell ref="E38:E39"/>
    <mergeCell ref="F38:G38"/>
    <mergeCell ref="H38:J38"/>
    <mergeCell ref="K38:L38"/>
    <mergeCell ref="M38:N38"/>
    <mergeCell ref="A24:O24"/>
    <mergeCell ref="A26:A27"/>
    <mergeCell ref="B26:B27"/>
    <mergeCell ref="C26:D27"/>
    <mergeCell ref="E26:E27"/>
    <mergeCell ref="F26:G26"/>
    <mergeCell ref="C33:D33"/>
    <mergeCell ref="H26:J26"/>
    <mergeCell ref="K26:L26"/>
    <mergeCell ref="M26:N26"/>
    <mergeCell ref="O26:O27"/>
    <mergeCell ref="A37:O37"/>
    <mergeCell ref="A38:A39"/>
    <mergeCell ref="B38:B39"/>
    <mergeCell ref="C23:D23"/>
    <mergeCell ref="C28:D28"/>
    <mergeCell ref="A25:O25"/>
    <mergeCell ref="A34:A35"/>
    <mergeCell ref="A36:O36"/>
    <mergeCell ref="B34:B35"/>
    <mergeCell ref="C34:D34"/>
    <mergeCell ref="C35:D35"/>
    <mergeCell ref="A28:A33"/>
    <mergeCell ref="B28:B33"/>
    <mergeCell ref="C29:D30"/>
    <mergeCell ref="C31:D31"/>
    <mergeCell ref="C32:D32"/>
    <mergeCell ref="A4:A22"/>
    <mergeCell ref="B4:B22"/>
    <mergeCell ref="C4:D6"/>
    <mergeCell ref="C7:D8"/>
    <mergeCell ref="C9:D20"/>
    <mergeCell ref="C21:D22"/>
    <mergeCell ref="A1:O1"/>
    <mergeCell ref="A2:A3"/>
    <mergeCell ref="B2:B3"/>
    <mergeCell ref="C2:D3"/>
    <mergeCell ref="E2:E3"/>
    <mergeCell ref="F2:G2"/>
    <mergeCell ref="H2:J2"/>
    <mergeCell ref="K2:L2"/>
    <mergeCell ref="M2:N2"/>
    <mergeCell ref="O2:O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"/>
  <sheetViews>
    <sheetView topLeftCell="A23" zoomScale="130" zoomScaleNormal="130" workbookViewId="0">
      <selection sqref="A1:O1"/>
    </sheetView>
  </sheetViews>
  <sheetFormatPr defaultRowHeight="12"/>
  <cols>
    <col min="1" max="1" width="3.5" style="29" customWidth="1"/>
    <col min="2" max="2" width="3.875" style="24" customWidth="1"/>
    <col min="3" max="3" width="4.25" style="24" customWidth="1"/>
    <col min="4" max="4" width="3.875" style="24" customWidth="1"/>
    <col min="5" max="5" width="4" style="41" customWidth="1"/>
    <col min="6" max="6" width="3.875" style="24" customWidth="1"/>
    <col min="7" max="7" width="3.75" style="24" customWidth="1"/>
    <col min="8" max="8" width="3.875" style="24" customWidth="1"/>
    <col min="9" max="9" width="4" style="24" customWidth="1"/>
    <col min="10" max="10" width="3.75" style="24" customWidth="1"/>
    <col min="11" max="11" width="3.875" style="24" customWidth="1"/>
    <col min="12" max="12" width="4" style="24" customWidth="1"/>
    <col min="13" max="13" width="3.625" style="24" customWidth="1"/>
    <col min="14" max="14" width="4" style="24" customWidth="1"/>
    <col min="15" max="15" width="22.625" style="24" customWidth="1"/>
    <col min="16" max="16384" width="9" style="24"/>
  </cols>
  <sheetData>
    <row r="1" spans="1:15" ht="31.5" customHeight="1">
      <c r="A1" s="245" t="s">
        <v>605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</row>
    <row r="2" spans="1:15">
      <c r="A2" s="247" t="s">
        <v>96</v>
      </c>
      <c r="B2" s="248" t="s">
        <v>97</v>
      </c>
      <c r="C2" s="239" t="s">
        <v>98</v>
      </c>
      <c r="D2" s="240"/>
      <c r="E2" s="216" t="s">
        <v>129</v>
      </c>
      <c r="F2" s="248" t="s">
        <v>105</v>
      </c>
      <c r="G2" s="248"/>
      <c r="H2" s="248" t="s">
        <v>102</v>
      </c>
      <c r="I2" s="248"/>
      <c r="J2" s="248"/>
      <c r="K2" s="248" t="s">
        <v>128</v>
      </c>
      <c r="L2" s="248"/>
      <c r="M2" s="237" t="s">
        <v>295</v>
      </c>
      <c r="N2" s="238"/>
      <c r="O2" s="248" t="s">
        <v>101</v>
      </c>
    </row>
    <row r="3" spans="1:15" ht="25.5" customHeight="1">
      <c r="A3" s="247"/>
      <c r="B3" s="248"/>
      <c r="C3" s="243"/>
      <c r="D3" s="244"/>
      <c r="E3" s="217"/>
      <c r="F3" s="22" t="s">
        <v>103</v>
      </c>
      <c r="G3" s="22" t="s">
        <v>104</v>
      </c>
      <c r="H3" s="22" t="s">
        <v>99</v>
      </c>
      <c r="I3" s="22" t="s">
        <v>100</v>
      </c>
      <c r="J3" s="22" t="s">
        <v>537</v>
      </c>
      <c r="K3" s="22" t="s">
        <v>99</v>
      </c>
      <c r="L3" s="22" t="s">
        <v>100</v>
      </c>
      <c r="M3" s="22" t="s">
        <v>99</v>
      </c>
      <c r="N3" s="22" t="s">
        <v>100</v>
      </c>
      <c r="O3" s="248"/>
    </row>
    <row r="4" spans="1:15">
      <c r="A4" s="216" t="s">
        <v>164</v>
      </c>
      <c r="B4" s="228"/>
      <c r="C4" s="239" t="s">
        <v>610</v>
      </c>
      <c r="D4" s="240"/>
      <c r="E4" s="44">
        <v>1</v>
      </c>
      <c r="F4" s="22"/>
      <c r="G4" s="22"/>
      <c r="H4" s="23" t="s">
        <v>293</v>
      </c>
      <c r="I4" s="23" t="s">
        <v>293</v>
      </c>
      <c r="J4" s="23" t="s">
        <v>293</v>
      </c>
      <c r="K4" s="22"/>
      <c r="L4" s="22"/>
      <c r="M4" s="22"/>
      <c r="N4" s="22"/>
      <c r="O4" s="22"/>
    </row>
    <row r="5" spans="1:15">
      <c r="A5" s="227"/>
      <c r="B5" s="229"/>
      <c r="C5" s="241"/>
      <c r="D5" s="242"/>
      <c r="E5" s="44" t="s">
        <v>571</v>
      </c>
      <c r="F5" s="22"/>
      <c r="G5" s="22"/>
      <c r="H5" s="23" t="s">
        <v>293</v>
      </c>
      <c r="I5" s="23" t="s">
        <v>293</v>
      </c>
      <c r="J5" s="23" t="s">
        <v>293</v>
      </c>
      <c r="K5" s="22"/>
      <c r="L5" s="22"/>
      <c r="M5" s="22"/>
      <c r="N5" s="22"/>
      <c r="O5" s="22"/>
    </row>
    <row r="6" spans="1:15">
      <c r="A6" s="227"/>
      <c r="B6" s="229"/>
      <c r="C6" s="243"/>
      <c r="D6" s="244"/>
      <c r="E6" s="44" t="s">
        <v>557</v>
      </c>
      <c r="F6" s="22"/>
      <c r="G6" s="22"/>
      <c r="H6" s="23" t="s">
        <v>293</v>
      </c>
      <c r="I6" s="23" t="s">
        <v>293</v>
      </c>
      <c r="J6" s="23" t="s">
        <v>293</v>
      </c>
      <c r="K6" s="22"/>
      <c r="L6" s="22"/>
      <c r="M6" s="22"/>
      <c r="N6" s="22"/>
      <c r="O6" s="22"/>
    </row>
    <row r="7" spans="1:15" ht="12" customHeight="1">
      <c r="A7" s="227"/>
      <c r="B7" s="229"/>
      <c r="C7" s="239" t="s">
        <v>555</v>
      </c>
      <c r="D7" s="240"/>
      <c r="E7" s="31" t="s">
        <v>611</v>
      </c>
      <c r="F7" s="22"/>
      <c r="G7" s="22"/>
      <c r="H7" s="23" t="s">
        <v>293</v>
      </c>
      <c r="I7" s="23" t="s">
        <v>293</v>
      </c>
      <c r="J7" s="23" t="s">
        <v>293</v>
      </c>
      <c r="K7" s="22"/>
      <c r="L7" s="23"/>
      <c r="M7" s="22"/>
      <c r="N7" s="22"/>
      <c r="O7" s="22"/>
    </row>
    <row r="8" spans="1:15" ht="12" customHeight="1">
      <c r="A8" s="227"/>
      <c r="B8" s="229"/>
      <c r="C8" s="241"/>
      <c r="D8" s="242"/>
      <c r="E8" s="31" t="s">
        <v>166</v>
      </c>
      <c r="F8" s="22"/>
      <c r="G8" s="22"/>
      <c r="H8" s="23" t="s">
        <v>293</v>
      </c>
      <c r="I8" s="23" t="s">
        <v>293</v>
      </c>
      <c r="J8" s="23" t="s">
        <v>293</v>
      </c>
      <c r="K8" s="22"/>
      <c r="L8" s="23"/>
      <c r="M8" s="22"/>
      <c r="N8" s="22"/>
      <c r="O8" s="22"/>
    </row>
    <row r="9" spans="1:15" ht="12" customHeight="1">
      <c r="A9" s="227"/>
      <c r="B9" s="229"/>
      <c r="C9" s="241"/>
      <c r="D9" s="242"/>
      <c r="E9" s="31" t="s">
        <v>168</v>
      </c>
      <c r="F9" s="22"/>
      <c r="G9" s="22"/>
      <c r="H9" s="23" t="s">
        <v>293</v>
      </c>
      <c r="I9" s="23" t="s">
        <v>293</v>
      </c>
      <c r="J9" s="23" t="s">
        <v>293</v>
      </c>
      <c r="K9" s="22"/>
      <c r="L9" s="23"/>
      <c r="M9" s="22"/>
      <c r="N9" s="22"/>
      <c r="O9" s="22"/>
    </row>
    <row r="10" spans="1:15">
      <c r="A10" s="227"/>
      <c r="B10" s="229"/>
      <c r="C10" s="241"/>
      <c r="D10" s="242"/>
      <c r="E10" s="31" t="s">
        <v>170</v>
      </c>
      <c r="F10" s="22"/>
      <c r="G10" s="22"/>
      <c r="H10" s="23" t="s">
        <v>293</v>
      </c>
      <c r="I10" s="23" t="s">
        <v>293</v>
      </c>
      <c r="J10" s="23" t="s">
        <v>293</v>
      </c>
      <c r="K10" s="22"/>
      <c r="L10" s="23"/>
      <c r="M10" s="22"/>
      <c r="N10" s="22"/>
      <c r="O10" s="22"/>
    </row>
    <row r="11" spans="1:15">
      <c r="A11" s="227"/>
      <c r="B11" s="229"/>
      <c r="C11" s="241"/>
      <c r="D11" s="242"/>
      <c r="E11" s="31" t="s">
        <v>110</v>
      </c>
      <c r="F11" s="22"/>
      <c r="G11" s="22"/>
      <c r="H11" s="23" t="s">
        <v>293</v>
      </c>
      <c r="I11" s="23" t="s">
        <v>293</v>
      </c>
      <c r="J11" s="23" t="s">
        <v>293</v>
      </c>
      <c r="K11" s="22"/>
      <c r="L11" s="23"/>
      <c r="M11" s="22"/>
      <c r="N11" s="22"/>
      <c r="O11" s="22"/>
    </row>
    <row r="12" spans="1:15">
      <c r="A12" s="227"/>
      <c r="B12" s="229"/>
      <c r="C12" s="241"/>
      <c r="D12" s="242"/>
      <c r="E12" s="31" t="s">
        <v>111</v>
      </c>
      <c r="F12" s="22"/>
      <c r="G12" s="22"/>
      <c r="H12" s="23" t="s">
        <v>293</v>
      </c>
      <c r="I12" s="23" t="s">
        <v>293</v>
      </c>
      <c r="J12" s="23" t="s">
        <v>293</v>
      </c>
      <c r="K12" s="22"/>
      <c r="L12" s="23"/>
      <c r="M12" s="22"/>
      <c r="N12" s="22"/>
      <c r="O12" s="22"/>
    </row>
    <row r="13" spans="1:15">
      <c r="A13" s="227"/>
      <c r="B13" s="229"/>
      <c r="C13" s="241"/>
      <c r="D13" s="242"/>
      <c r="E13" s="31" t="s">
        <v>112</v>
      </c>
      <c r="F13" s="22"/>
      <c r="G13" s="22"/>
      <c r="H13" s="23" t="s">
        <v>293</v>
      </c>
      <c r="I13" s="23" t="s">
        <v>293</v>
      </c>
      <c r="J13" s="23" t="s">
        <v>293</v>
      </c>
      <c r="K13" s="22"/>
      <c r="L13" s="23"/>
      <c r="M13" s="22"/>
      <c r="N13" s="22"/>
      <c r="O13" s="22"/>
    </row>
    <row r="14" spans="1:15">
      <c r="A14" s="227"/>
      <c r="B14" s="229"/>
      <c r="C14" s="248" t="s">
        <v>118</v>
      </c>
      <c r="D14" s="248"/>
      <c r="E14" s="31" t="s">
        <v>612</v>
      </c>
      <c r="F14" s="22"/>
      <c r="G14" s="22"/>
      <c r="H14" s="23" t="s">
        <v>293</v>
      </c>
      <c r="I14" s="23" t="s">
        <v>293</v>
      </c>
      <c r="J14" s="23" t="s">
        <v>293</v>
      </c>
      <c r="K14" s="22"/>
      <c r="L14" s="23"/>
      <c r="M14" s="22"/>
      <c r="N14" s="22"/>
      <c r="O14" s="22"/>
    </row>
    <row r="15" spans="1:15">
      <c r="A15" s="227"/>
      <c r="B15" s="229"/>
      <c r="C15" s="248"/>
      <c r="D15" s="248"/>
      <c r="E15" s="31" t="s">
        <v>166</v>
      </c>
      <c r="F15" s="22"/>
      <c r="G15" s="22"/>
      <c r="H15" s="23" t="s">
        <v>293</v>
      </c>
      <c r="I15" s="23" t="s">
        <v>293</v>
      </c>
      <c r="J15" s="23" t="s">
        <v>293</v>
      </c>
      <c r="K15" s="22"/>
      <c r="L15" s="23"/>
      <c r="M15" s="22"/>
      <c r="N15" s="22"/>
      <c r="O15" s="22"/>
    </row>
    <row r="16" spans="1:15">
      <c r="A16" s="227"/>
      <c r="B16" s="229"/>
      <c r="C16" s="248"/>
      <c r="D16" s="248"/>
      <c r="E16" s="31" t="s">
        <v>613</v>
      </c>
      <c r="F16" s="22"/>
      <c r="G16" s="22"/>
      <c r="H16" s="23" t="s">
        <v>293</v>
      </c>
      <c r="I16" s="23" t="s">
        <v>293</v>
      </c>
      <c r="J16" s="23" t="s">
        <v>293</v>
      </c>
      <c r="K16" s="22"/>
      <c r="L16" s="23"/>
      <c r="M16" s="22"/>
      <c r="N16" s="22"/>
      <c r="O16" s="22"/>
    </row>
    <row r="17" spans="1:15" ht="12" customHeight="1">
      <c r="A17" s="227"/>
      <c r="B17" s="229"/>
      <c r="C17" s="239" t="s">
        <v>87</v>
      </c>
      <c r="D17" s="240"/>
      <c r="E17" s="31" t="s">
        <v>164</v>
      </c>
      <c r="F17" s="22"/>
      <c r="G17" s="22"/>
      <c r="H17" s="23" t="s">
        <v>293</v>
      </c>
      <c r="I17" s="23" t="s">
        <v>293</v>
      </c>
      <c r="J17" s="23" t="s">
        <v>293</v>
      </c>
      <c r="K17" s="22"/>
      <c r="L17" s="23"/>
      <c r="M17" s="22"/>
      <c r="N17" s="22"/>
      <c r="O17" s="33" t="s">
        <v>614</v>
      </c>
    </row>
    <row r="18" spans="1:15" ht="12" customHeight="1">
      <c r="A18" s="216" t="s">
        <v>604</v>
      </c>
      <c r="B18" s="228"/>
      <c r="C18" s="239" t="s">
        <v>86</v>
      </c>
      <c r="D18" s="240"/>
      <c r="E18" s="31" t="s">
        <v>608</v>
      </c>
      <c r="F18" s="22"/>
      <c r="G18" s="22"/>
      <c r="H18" s="23" t="s">
        <v>293</v>
      </c>
      <c r="I18" s="23" t="s">
        <v>293</v>
      </c>
      <c r="J18" s="23" t="s">
        <v>293</v>
      </c>
      <c r="K18" s="22"/>
      <c r="L18" s="23"/>
      <c r="M18" s="22"/>
      <c r="N18" s="22"/>
      <c r="O18" s="22"/>
    </row>
    <row r="19" spans="1:15" ht="12" customHeight="1">
      <c r="A19" s="227"/>
      <c r="B19" s="229"/>
      <c r="C19" s="241"/>
      <c r="D19" s="242"/>
      <c r="E19" s="31" t="s">
        <v>166</v>
      </c>
      <c r="F19" s="22"/>
      <c r="G19" s="22"/>
      <c r="H19" s="23" t="s">
        <v>293</v>
      </c>
      <c r="I19" s="23" t="s">
        <v>293</v>
      </c>
      <c r="J19" s="23" t="s">
        <v>293</v>
      </c>
      <c r="K19" s="22"/>
      <c r="L19" s="23"/>
      <c r="M19" s="22"/>
      <c r="N19" s="22"/>
      <c r="O19" s="22"/>
    </row>
    <row r="20" spans="1:15" ht="12" customHeight="1">
      <c r="A20" s="227"/>
      <c r="B20" s="229"/>
      <c r="C20" s="241"/>
      <c r="D20" s="242"/>
      <c r="E20" s="31" t="s">
        <v>609</v>
      </c>
      <c r="F20" s="22"/>
      <c r="G20" s="22"/>
      <c r="H20" s="23" t="s">
        <v>293</v>
      </c>
      <c r="I20" s="23" t="s">
        <v>293</v>
      </c>
      <c r="J20" s="23" t="s">
        <v>293</v>
      </c>
      <c r="K20" s="22"/>
      <c r="L20" s="23"/>
      <c r="M20" s="22"/>
      <c r="N20" s="22"/>
      <c r="O20" s="22"/>
    </row>
    <row r="21" spans="1:15" ht="12" customHeight="1">
      <c r="A21" s="227"/>
      <c r="B21" s="229"/>
      <c r="C21" s="243"/>
      <c r="D21" s="244"/>
      <c r="E21" s="31" t="s">
        <v>170</v>
      </c>
      <c r="F21" s="22"/>
      <c r="G21" s="22"/>
      <c r="H21" s="23" t="s">
        <v>293</v>
      </c>
      <c r="I21" s="23" t="s">
        <v>293</v>
      </c>
      <c r="J21" s="23" t="s">
        <v>293</v>
      </c>
      <c r="K21" s="22"/>
      <c r="L21" s="23"/>
      <c r="M21" s="22"/>
      <c r="N21" s="22"/>
      <c r="O21" s="22"/>
    </row>
    <row r="22" spans="1:15">
      <c r="A22" s="217"/>
      <c r="B22" s="230"/>
      <c r="C22" s="237" t="s">
        <v>606</v>
      </c>
      <c r="D22" s="238"/>
      <c r="E22" s="39" t="s">
        <v>164</v>
      </c>
      <c r="F22" s="23"/>
      <c r="G22" s="23"/>
      <c r="H22" s="23" t="s">
        <v>293</v>
      </c>
      <c r="I22" s="23" t="s">
        <v>293</v>
      </c>
      <c r="J22" s="23" t="s">
        <v>293</v>
      </c>
      <c r="K22" s="23"/>
      <c r="L22" s="23"/>
      <c r="M22" s="23"/>
      <c r="N22" s="23"/>
      <c r="O22" s="23" t="s">
        <v>607</v>
      </c>
    </row>
    <row r="23" spans="1:15" ht="46.5" customHeight="1">
      <c r="A23" s="255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7"/>
    </row>
    <row r="24" spans="1:15" ht="25.5" customHeight="1">
      <c r="A24" s="252" t="s">
        <v>602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4"/>
    </row>
    <row r="25" spans="1:15">
      <c r="A25" s="247" t="s">
        <v>96</v>
      </c>
      <c r="B25" s="248" t="s">
        <v>97</v>
      </c>
      <c r="C25" s="248" t="s">
        <v>98</v>
      </c>
      <c r="D25" s="248"/>
      <c r="E25" s="247" t="s">
        <v>129</v>
      </c>
      <c r="F25" s="248" t="s">
        <v>105</v>
      </c>
      <c r="G25" s="248"/>
      <c r="H25" s="248" t="s">
        <v>102</v>
      </c>
      <c r="I25" s="248"/>
      <c r="J25" s="248"/>
      <c r="K25" s="248" t="s">
        <v>128</v>
      </c>
      <c r="L25" s="248"/>
      <c r="M25" s="248" t="s">
        <v>295</v>
      </c>
      <c r="N25" s="248"/>
      <c r="O25" s="248" t="s">
        <v>101</v>
      </c>
    </row>
    <row r="26" spans="1:15" ht="25.5" customHeight="1">
      <c r="A26" s="247"/>
      <c r="B26" s="248"/>
      <c r="C26" s="248"/>
      <c r="D26" s="248"/>
      <c r="E26" s="247"/>
      <c r="F26" s="22" t="s">
        <v>103</v>
      </c>
      <c r="G26" s="22" t="s">
        <v>104</v>
      </c>
      <c r="H26" s="22" t="s">
        <v>99</v>
      </c>
      <c r="I26" s="22" t="s">
        <v>100</v>
      </c>
      <c r="J26" s="23" t="s">
        <v>293</v>
      </c>
      <c r="K26" s="22" t="s">
        <v>99</v>
      </c>
      <c r="L26" s="22" t="s">
        <v>100</v>
      </c>
      <c r="M26" s="22" t="s">
        <v>99</v>
      </c>
      <c r="N26" s="22" t="s">
        <v>100</v>
      </c>
      <c r="O26" s="248"/>
    </row>
    <row r="27" spans="1:15">
      <c r="A27" s="30"/>
      <c r="B27" s="32"/>
      <c r="C27" s="248" t="s">
        <v>89</v>
      </c>
      <c r="D27" s="248"/>
      <c r="E27" s="39">
        <v>1</v>
      </c>
      <c r="F27" s="23"/>
      <c r="G27" s="23"/>
      <c r="H27" s="23" t="s">
        <v>293</v>
      </c>
      <c r="I27" s="23" t="s">
        <v>293</v>
      </c>
      <c r="J27" s="23" t="s">
        <v>293</v>
      </c>
      <c r="K27" s="23" t="s">
        <v>293</v>
      </c>
      <c r="L27" s="23"/>
      <c r="M27" s="23"/>
      <c r="N27" s="23"/>
      <c r="O27" s="23" t="s">
        <v>135</v>
      </c>
    </row>
    <row r="28" spans="1:15" ht="46.5" customHeight="1">
      <c r="A28" s="210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</row>
  </sheetData>
  <mergeCells count="33">
    <mergeCell ref="A28:O28"/>
    <mergeCell ref="A18:A22"/>
    <mergeCell ref="B18:B22"/>
    <mergeCell ref="C18:D21"/>
    <mergeCell ref="C7:D13"/>
    <mergeCell ref="C14:D16"/>
    <mergeCell ref="K25:L25"/>
    <mergeCell ref="M25:N25"/>
    <mergeCell ref="O25:O26"/>
    <mergeCell ref="C27:D27"/>
    <mergeCell ref="A25:A26"/>
    <mergeCell ref="B25:B26"/>
    <mergeCell ref="C25:D26"/>
    <mergeCell ref="E25:E26"/>
    <mergeCell ref="F25:G25"/>
    <mergeCell ref="H25:J25"/>
    <mergeCell ref="A24:O24"/>
    <mergeCell ref="C22:D22"/>
    <mergeCell ref="A23:O23"/>
    <mergeCell ref="A4:A17"/>
    <mergeCell ref="B4:B17"/>
    <mergeCell ref="C4:D6"/>
    <mergeCell ref="C17:D17"/>
    <mergeCell ref="A1:O1"/>
    <mergeCell ref="A2:A3"/>
    <mergeCell ref="B2:B3"/>
    <mergeCell ref="C2:D3"/>
    <mergeCell ref="E2:E3"/>
    <mergeCell ref="F2:G2"/>
    <mergeCell ref="H2:J2"/>
    <mergeCell ref="K2:L2"/>
    <mergeCell ref="M2:N2"/>
    <mergeCell ref="O2:O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6"/>
  <sheetViews>
    <sheetView zoomScale="115" zoomScaleNormal="115" workbookViewId="0">
      <selection activeCell="J3" sqref="J3:J33"/>
    </sheetView>
  </sheetViews>
  <sheetFormatPr defaultRowHeight="16.5"/>
  <cols>
    <col min="1" max="1" width="3.375" customWidth="1"/>
    <col min="2" max="2" width="14.625" style="48" customWidth="1"/>
    <col min="3" max="3" width="6.5" customWidth="1"/>
    <col min="4" max="4" width="7.875" customWidth="1"/>
    <col min="5" max="5" width="7.375" customWidth="1"/>
    <col min="6" max="6" width="7.75" style="60" customWidth="1"/>
    <col min="7" max="7" width="14.25" style="48" customWidth="1"/>
    <col min="8" max="8" width="31.125" customWidth="1"/>
    <col min="9" max="9" width="19.25" customWidth="1"/>
    <col min="10" max="10" width="17.75" customWidth="1"/>
    <col min="11" max="11" width="10.625" customWidth="1"/>
    <col min="12" max="12" width="9.25" customWidth="1"/>
    <col min="13" max="13" width="7.375" customWidth="1"/>
  </cols>
  <sheetData>
    <row r="1" spans="2:14" ht="18.75" customHeight="1">
      <c r="B1" s="258" t="s">
        <v>663</v>
      </c>
      <c r="C1" s="258"/>
      <c r="D1" s="258"/>
      <c r="E1" s="258"/>
      <c r="F1" s="258"/>
      <c r="G1" s="258"/>
      <c r="H1" s="258"/>
      <c r="I1" s="61"/>
      <c r="J1" s="61"/>
      <c r="K1" s="61"/>
      <c r="L1" s="52">
        <v>44825</v>
      </c>
      <c r="M1" s="53">
        <v>0.16830000000000001</v>
      </c>
    </row>
    <row r="2" spans="2:14" ht="14.1" customHeight="1">
      <c r="B2" s="92" t="s">
        <v>655</v>
      </c>
      <c r="C2" s="93" t="s">
        <v>96</v>
      </c>
      <c r="D2" s="92" t="s">
        <v>635</v>
      </c>
      <c r="E2" s="92" t="s">
        <v>667</v>
      </c>
      <c r="F2" s="92" t="s">
        <v>654</v>
      </c>
      <c r="G2" s="92" t="s">
        <v>295</v>
      </c>
      <c r="H2" s="93" t="s">
        <v>636</v>
      </c>
      <c r="I2" s="93" t="s">
        <v>714</v>
      </c>
      <c r="J2" s="156"/>
      <c r="K2" s="62"/>
      <c r="L2" s="52">
        <v>44832</v>
      </c>
      <c r="M2" s="53">
        <v>0.19900000000000001</v>
      </c>
      <c r="N2" s="53"/>
    </row>
    <row r="3" spans="2:14" ht="14.1" customHeight="1">
      <c r="B3" s="263" t="s">
        <v>692</v>
      </c>
      <c r="C3" s="82" t="s">
        <v>539</v>
      </c>
      <c r="D3" s="82">
        <v>131</v>
      </c>
      <c r="E3" s="82"/>
      <c r="F3" s="92"/>
      <c r="G3" s="85" t="s">
        <v>657</v>
      </c>
      <c r="H3" s="82" t="s">
        <v>633</v>
      </c>
      <c r="I3" s="271" t="s">
        <v>835</v>
      </c>
      <c r="J3" s="269" t="s">
        <v>838</v>
      </c>
      <c r="L3" t="s">
        <v>671</v>
      </c>
      <c r="M3" s="53">
        <v>0.20230000000000001</v>
      </c>
      <c r="N3" s="53"/>
    </row>
    <row r="4" spans="2:14" ht="14.1" customHeight="1">
      <c r="B4" s="263"/>
      <c r="C4" s="82" t="s">
        <v>618</v>
      </c>
      <c r="D4" s="82">
        <v>25</v>
      </c>
      <c r="E4" s="82"/>
      <c r="F4" s="92"/>
      <c r="G4" s="85" t="s">
        <v>658</v>
      </c>
      <c r="H4" s="82" t="s">
        <v>634</v>
      </c>
      <c r="I4" s="272"/>
      <c r="J4" s="270"/>
      <c r="L4" t="s">
        <v>687</v>
      </c>
      <c r="M4" s="53">
        <v>0.25850000000000001</v>
      </c>
    </row>
    <row r="5" spans="2:14" ht="14.1" customHeight="1">
      <c r="B5" s="263"/>
      <c r="C5" s="82" t="s">
        <v>620</v>
      </c>
      <c r="D5" s="82">
        <v>22</v>
      </c>
      <c r="E5" s="82"/>
      <c r="F5" s="92"/>
      <c r="G5" s="85" t="s">
        <v>659</v>
      </c>
      <c r="H5" s="82" t="s">
        <v>637</v>
      </c>
      <c r="I5" s="272"/>
      <c r="J5" s="270"/>
      <c r="L5" t="s">
        <v>693</v>
      </c>
      <c r="M5" s="53">
        <v>0.2989</v>
      </c>
    </row>
    <row r="6" spans="2:14" ht="14.1" customHeight="1">
      <c r="B6" s="263"/>
      <c r="C6" s="82" t="s">
        <v>621</v>
      </c>
      <c r="D6" s="82">
        <v>53</v>
      </c>
      <c r="E6" s="82"/>
      <c r="F6" s="92"/>
      <c r="G6" s="85" t="s">
        <v>660</v>
      </c>
      <c r="H6" s="82" t="s">
        <v>638</v>
      </c>
      <c r="I6" s="272"/>
      <c r="J6" s="270"/>
      <c r="K6" t="s">
        <v>709</v>
      </c>
      <c r="L6" t="s">
        <v>696</v>
      </c>
      <c r="M6" s="53">
        <v>0.33229999999999998</v>
      </c>
    </row>
    <row r="7" spans="2:14" ht="14.1" customHeight="1">
      <c r="B7" s="263"/>
      <c r="C7" s="82" t="s">
        <v>622</v>
      </c>
      <c r="D7" s="82">
        <v>11</v>
      </c>
      <c r="E7" s="82"/>
      <c r="F7" s="92"/>
      <c r="G7" s="85" t="s">
        <v>661</v>
      </c>
      <c r="H7" s="82" t="s">
        <v>86</v>
      </c>
      <c r="I7" s="272"/>
      <c r="J7" s="270"/>
      <c r="K7">
        <v>2024</v>
      </c>
      <c r="L7" t="s">
        <v>716</v>
      </c>
      <c r="M7" s="53">
        <v>0.51369999999999993</v>
      </c>
    </row>
    <row r="8" spans="2:14" ht="14.1" customHeight="1">
      <c r="B8" s="263"/>
      <c r="C8" s="82" t="s">
        <v>623</v>
      </c>
      <c r="D8" s="82">
        <v>2</v>
      </c>
      <c r="E8" s="82"/>
      <c r="F8" s="92"/>
      <c r="G8" s="85" t="s">
        <v>662</v>
      </c>
      <c r="H8" s="82" t="s">
        <v>86</v>
      </c>
      <c r="I8" s="272"/>
      <c r="J8" s="270"/>
    </row>
    <row r="9" spans="2:14" ht="14.1" customHeight="1">
      <c r="B9" s="263"/>
      <c r="C9" s="82" t="s">
        <v>624</v>
      </c>
      <c r="D9" s="82">
        <v>21</v>
      </c>
      <c r="E9" s="82"/>
      <c r="F9" s="92"/>
      <c r="G9" s="85" t="s">
        <v>657</v>
      </c>
      <c r="H9" s="82" t="s">
        <v>639</v>
      </c>
      <c r="I9" s="273"/>
      <c r="J9" s="270"/>
    </row>
    <row r="10" spans="2:14" ht="14.1" customHeight="1">
      <c r="B10" s="263" t="s">
        <v>691</v>
      </c>
      <c r="C10" s="82" t="s">
        <v>493</v>
      </c>
      <c r="D10" s="82">
        <v>47</v>
      </c>
      <c r="E10" s="82">
        <v>47</v>
      </c>
      <c r="F10" s="92" t="s">
        <v>715</v>
      </c>
      <c r="G10" s="85" t="s">
        <v>670</v>
      </c>
      <c r="H10" s="82" t="s">
        <v>640</v>
      </c>
      <c r="I10" s="271" t="s">
        <v>836</v>
      </c>
      <c r="J10" s="270"/>
    </row>
    <row r="11" spans="2:14" ht="14.1" customHeight="1">
      <c r="B11" s="263"/>
      <c r="C11" s="82" t="s">
        <v>625</v>
      </c>
      <c r="D11" s="82">
        <v>19</v>
      </c>
      <c r="E11" s="82">
        <v>19</v>
      </c>
      <c r="F11" s="92" t="s">
        <v>483</v>
      </c>
      <c r="G11" s="85"/>
      <c r="H11" s="82" t="s">
        <v>643</v>
      </c>
      <c r="I11" s="272"/>
      <c r="J11" s="270"/>
    </row>
    <row r="12" spans="2:14" ht="14.1" customHeight="1">
      <c r="B12" s="263"/>
      <c r="C12" s="82" t="s">
        <v>626</v>
      </c>
      <c r="D12" s="82">
        <v>8</v>
      </c>
      <c r="E12" s="82">
        <v>8</v>
      </c>
      <c r="F12" s="92" t="s">
        <v>483</v>
      </c>
      <c r="G12" s="85" t="s">
        <v>695</v>
      </c>
      <c r="H12" s="82" t="s">
        <v>642</v>
      </c>
      <c r="I12" s="272"/>
      <c r="J12" s="270"/>
    </row>
    <row r="13" spans="2:14" ht="14.1" customHeight="1">
      <c r="B13" s="263"/>
      <c r="C13" s="82" t="s">
        <v>686</v>
      </c>
      <c r="D13" s="82">
        <v>9</v>
      </c>
      <c r="E13" s="82">
        <v>8</v>
      </c>
      <c r="F13" s="92" t="s">
        <v>483</v>
      </c>
      <c r="G13" s="85" t="s">
        <v>694</v>
      </c>
      <c r="H13" s="82" t="s">
        <v>641</v>
      </c>
      <c r="I13" s="273"/>
      <c r="J13" s="270"/>
    </row>
    <row r="14" spans="2:14" ht="14.1" customHeight="1">
      <c r="B14" s="263" t="s">
        <v>631</v>
      </c>
      <c r="C14" s="86" t="s">
        <v>539</v>
      </c>
      <c r="D14" s="86">
        <v>14</v>
      </c>
      <c r="E14" s="86">
        <v>14</v>
      </c>
      <c r="F14" s="94" t="s">
        <v>483</v>
      </c>
      <c r="G14" s="90"/>
      <c r="H14" s="86" t="s">
        <v>645</v>
      </c>
      <c r="I14" s="271" t="s">
        <v>832</v>
      </c>
      <c r="J14" s="270"/>
    </row>
    <row r="15" spans="2:14" ht="14.1" customHeight="1">
      <c r="B15" s="263"/>
      <c r="C15" s="86" t="s">
        <v>618</v>
      </c>
      <c r="D15" s="86">
        <v>5</v>
      </c>
      <c r="E15" s="86">
        <v>5</v>
      </c>
      <c r="F15" s="94" t="s">
        <v>483</v>
      </c>
      <c r="G15" s="90"/>
      <c r="H15" s="86" t="s">
        <v>644</v>
      </c>
      <c r="I15" s="273"/>
      <c r="J15" s="270"/>
    </row>
    <row r="16" spans="2:14" ht="14.1" customHeight="1">
      <c r="B16" s="105" t="s">
        <v>632</v>
      </c>
      <c r="C16" s="86"/>
      <c r="D16" s="86">
        <v>2</v>
      </c>
      <c r="E16" s="86">
        <v>2</v>
      </c>
      <c r="F16" s="94" t="s">
        <v>483</v>
      </c>
      <c r="G16" s="90"/>
      <c r="H16" s="86" t="s">
        <v>684</v>
      </c>
      <c r="I16" s="157" t="s">
        <v>837</v>
      </c>
      <c r="J16" s="270"/>
    </row>
    <row r="17" spans="2:11" ht="14.1" customHeight="1">
      <c r="B17" s="266" t="s">
        <v>685</v>
      </c>
      <c r="C17" s="86" t="s">
        <v>539</v>
      </c>
      <c r="D17" s="86">
        <v>1</v>
      </c>
      <c r="E17" s="86">
        <v>1</v>
      </c>
      <c r="F17" s="94" t="s">
        <v>483</v>
      </c>
      <c r="G17" s="90"/>
      <c r="H17" s="86" t="s">
        <v>689</v>
      </c>
      <c r="I17" s="271" t="s">
        <v>833</v>
      </c>
      <c r="J17" s="270"/>
    </row>
    <row r="18" spans="2:11" ht="14.1" customHeight="1">
      <c r="B18" s="267"/>
      <c r="C18" s="86" t="s">
        <v>617</v>
      </c>
      <c r="D18" s="86">
        <v>33</v>
      </c>
      <c r="E18" s="86">
        <v>33</v>
      </c>
      <c r="F18" s="94" t="s">
        <v>483</v>
      </c>
      <c r="G18" s="90"/>
      <c r="H18" s="86" t="s">
        <v>646</v>
      </c>
      <c r="I18" s="272"/>
      <c r="J18" s="270"/>
    </row>
    <row r="19" spans="2:11" ht="14.1" customHeight="1">
      <c r="B19" s="267"/>
      <c r="C19" s="86" t="s">
        <v>619</v>
      </c>
      <c r="D19" s="86">
        <v>39</v>
      </c>
      <c r="E19" s="86">
        <v>39</v>
      </c>
      <c r="F19" s="94" t="s">
        <v>483</v>
      </c>
      <c r="G19" s="90" t="s">
        <v>670</v>
      </c>
      <c r="H19" s="86" t="s">
        <v>647</v>
      </c>
      <c r="I19" s="272"/>
      <c r="J19" s="270"/>
    </row>
    <row r="20" spans="2:11" ht="14.1" customHeight="1">
      <c r="B20" s="267"/>
      <c r="C20" s="86" t="s">
        <v>628</v>
      </c>
      <c r="D20" s="86">
        <v>10</v>
      </c>
      <c r="E20" s="86">
        <v>10</v>
      </c>
      <c r="F20" s="94" t="s">
        <v>483</v>
      </c>
      <c r="G20" s="90"/>
      <c r="H20" s="86" t="s">
        <v>648</v>
      </c>
      <c r="I20" s="272"/>
      <c r="J20" s="270"/>
    </row>
    <row r="21" spans="2:11" ht="14.1" customHeight="1">
      <c r="B21" s="267"/>
      <c r="C21" s="86" t="s">
        <v>629</v>
      </c>
      <c r="D21" s="86">
        <v>11</v>
      </c>
      <c r="E21" s="86">
        <v>11</v>
      </c>
      <c r="F21" s="94" t="s">
        <v>483</v>
      </c>
      <c r="G21" s="90" t="s">
        <v>670</v>
      </c>
      <c r="H21" s="86" t="s">
        <v>688</v>
      </c>
      <c r="I21" s="272"/>
      <c r="J21" s="270"/>
    </row>
    <row r="22" spans="2:11" ht="14.1" customHeight="1">
      <c r="B22" s="267"/>
      <c r="C22" s="86" t="s">
        <v>622</v>
      </c>
      <c r="D22" s="86">
        <v>10</v>
      </c>
      <c r="E22" s="86">
        <v>10</v>
      </c>
      <c r="F22" s="94" t="s">
        <v>483</v>
      </c>
      <c r="G22" s="90"/>
      <c r="H22" s="86" t="s">
        <v>649</v>
      </c>
      <c r="I22" s="272"/>
      <c r="J22" s="270"/>
    </row>
    <row r="23" spans="2:11" ht="14.1" customHeight="1">
      <c r="B23" s="267"/>
      <c r="C23" s="86" t="s">
        <v>623</v>
      </c>
      <c r="D23" s="86">
        <v>7</v>
      </c>
      <c r="E23" s="86">
        <v>7</v>
      </c>
      <c r="F23" s="94" t="s">
        <v>483</v>
      </c>
      <c r="G23" s="90"/>
      <c r="H23" s="86" t="s">
        <v>650</v>
      </c>
      <c r="I23" s="272"/>
      <c r="J23" s="270"/>
    </row>
    <row r="24" spans="2:11" ht="14.1" customHeight="1">
      <c r="B24" s="267"/>
      <c r="C24" s="86" t="s">
        <v>624</v>
      </c>
      <c r="D24" s="86">
        <v>18</v>
      </c>
      <c r="E24" s="86">
        <v>18</v>
      </c>
      <c r="F24" s="94" t="s">
        <v>483</v>
      </c>
      <c r="G24" s="90"/>
      <c r="H24" s="86" t="s">
        <v>651</v>
      </c>
      <c r="I24" s="272"/>
      <c r="J24" s="270"/>
    </row>
    <row r="25" spans="2:11" ht="14.1" customHeight="1">
      <c r="B25" s="267"/>
      <c r="C25" s="86" t="s">
        <v>630</v>
      </c>
      <c r="D25" s="86">
        <v>21</v>
      </c>
      <c r="E25" s="86">
        <v>21</v>
      </c>
      <c r="F25" s="94" t="s">
        <v>483</v>
      </c>
      <c r="G25" s="90" t="s">
        <v>672</v>
      </c>
      <c r="H25" s="86" t="s">
        <v>652</v>
      </c>
      <c r="I25" s="272"/>
      <c r="J25" s="270"/>
    </row>
    <row r="26" spans="2:11" ht="14.1" customHeight="1">
      <c r="B26" s="267"/>
      <c r="C26" s="86" t="s">
        <v>731</v>
      </c>
      <c r="D26" s="86">
        <v>64</v>
      </c>
      <c r="E26" s="86">
        <v>64</v>
      </c>
      <c r="F26" s="94"/>
      <c r="G26" s="90"/>
      <c r="H26" s="155"/>
      <c r="I26" s="272"/>
      <c r="J26" s="270"/>
    </row>
    <row r="27" spans="2:11" ht="14.1" customHeight="1">
      <c r="B27" s="268"/>
      <c r="C27" s="86" t="s">
        <v>732</v>
      </c>
      <c r="D27" s="86">
        <v>22</v>
      </c>
      <c r="E27" s="86">
        <v>22</v>
      </c>
      <c r="F27" s="94"/>
      <c r="G27" s="90"/>
      <c r="H27" s="155"/>
      <c r="I27" s="273"/>
      <c r="J27" s="270"/>
    </row>
    <row r="28" spans="2:11" ht="14.1" customHeight="1">
      <c r="B28" s="263" t="s">
        <v>690</v>
      </c>
      <c r="C28" s="86" t="s">
        <v>493</v>
      </c>
      <c r="D28" s="86">
        <v>57</v>
      </c>
      <c r="E28" s="86">
        <v>57</v>
      </c>
      <c r="F28" s="94" t="s">
        <v>483</v>
      </c>
      <c r="G28" s="90"/>
      <c r="H28" s="261" t="s">
        <v>666</v>
      </c>
      <c r="I28" s="271" t="s">
        <v>834</v>
      </c>
      <c r="J28" s="270"/>
      <c r="K28" s="60"/>
    </row>
    <row r="29" spans="2:11" ht="14.1" customHeight="1">
      <c r="B29" s="263"/>
      <c r="C29" s="86" t="s">
        <v>625</v>
      </c>
      <c r="D29" s="86" t="s">
        <v>664</v>
      </c>
      <c r="E29" s="86"/>
      <c r="F29" s="94"/>
      <c r="G29" s="90" t="s">
        <v>653</v>
      </c>
      <c r="H29" s="262"/>
      <c r="I29" s="272"/>
      <c r="J29" s="270"/>
      <c r="K29" s="60"/>
    </row>
    <row r="30" spans="2:11" ht="14.1" customHeight="1">
      <c r="B30" s="263"/>
      <c r="C30" s="86" t="s">
        <v>585</v>
      </c>
      <c r="D30" s="86">
        <v>38</v>
      </c>
      <c r="E30" s="264">
        <v>32</v>
      </c>
      <c r="F30" s="94"/>
      <c r="G30" s="90" t="s">
        <v>668</v>
      </c>
      <c r="H30" s="259" t="s">
        <v>665</v>
      </c>
      <c r="I30" s="272"/>
      <c r="J30" s="270"/>
      <c r="K30" s="63"/>
    </row>
    <row r="31" spans="2:11" ht="14.1" customHeight="1">
      <c r="B31" s="263"/>
      <c r="C31" s="86" t="s">
        <v>627</v>
      </c>
      <c r="D31" s="86">
        <v>29</v>
      </c>
      <c r="E31" s="265"/>
      <c r="F31" s="94"/>
      <c r="G31" s="90" t="s">
        <v>669</v>
      </c>
      <c r="H31" s="260"/>
      <c r="I31" s="273"/>
      <c r="J31" s="270"/>
      <c r="K31" s="64"/>
    </row>
    <row r="32" spans="2:11" ht="14.1" customHeight="1">
      <c r="B32" s="91" t="s">
        <v>656</v>
      </c>
      <c r="C32" s="89"/>
      <c r="D32" s="89">
        <f>SUM(D3:D31)</f>
        <v>729</v>
      </c>
      <c r="E32" s="89">
        <f t="shared" ref="E32:I32" si="0">SUM(E3:E31)</f>
        <v>428</v>
      </c>
      <c r="F32" s="89">
        <f t="shared" si="0"/>
        <v>0</v>
      </c>
      <c r="G32" s="89">
        <f t="shared" si="0"/>
        <v>0</v>
      </c>
      <c r="H32" s="89">
        <f t="shared" si="0"/>
        <v>0</v>
      </c>
      <c r="I32" s="89">
        <f t="shared" si="0"/>
        <v>0</v>
      </c>
      <c r="J32" s="270"/>
      <c r="K32" s="65"/>
    </row>
    <row r="33" spans="2:11" ht="14.1" customHeight="1">
      <c r="B33" s="101"/>
      <c r="C33" s="102"/>
      <c r="D33" s="102"/>
      <c r="E33" s="102"/>
      <c r="F33" s="103"/>
      <c r="G33" s="101"/>
      <c r="H33" s="104"/>
      <c r="I33" s="104"/>
      <c r="J33" s="270"/>
      <c r="K33" s="65"/>
    </row>
    <row r="34" spans="2:11" ht="14.1" customHeight="1">
      <c r="B34" s="101"/>
      <c r="C34" s="102"/>
      <c r="D34" s="102"/>
      <c r="E34" s="102"/>
      <c r="F34" s="103"/>
      <c r="G34" s="101"/>
      <c r="H34" s="104"/>
      <c r="I34" s="104"/>
      <c r="J34" s="104"/>
      <c r="K34" s="65"/>
    </row>
    <row r="35" spans="2:11">
      <c r="B35" s="95"/>
      <c r="C35" s="96"/>
      <c r="D35" s="96"/>
      <c r="E35" s="96"/>
      <c r="F35" s="97"/>
      <c r="G35" s="98"/>
      <c r="H35" s="99"/>
      <c r="I35" s="99"/>
      <c r="J35" s="99"/>
      <c r="K35" s="53"/>
    </row>
    <row r="36" spans="2:11">
      <c r="G36" s="52"/>
      <c r="H36" s="53"/>
      <c r="I36" s="53"/>
      <c r="J36" s="53"/>
      <c r="K36" s="53"/>
    </row>
  </sheetData>
  <mergeCells count="15">
    <mergeCell ref="J3:J33"/>
    <mergeCell ref="I28:I31"/>
    <mergeCell ref="I3:I9"/>
    <mergeCell ref="I10:I13"/>
    <mergeCell ref="I14:I15"/>
    <mergeCell ref="I17:I27"/>
    <mergeCell ref="B1:H1"/>
    <mergeCell ref="H30:H31"/>
    <mergeCell ref="H28:H29"/>
    <mergeCell ref="B14:B15"/>
    <mergeCell ref="B10:B13"/>
    <mergeCell ref="B3:B9"/>
    <mergeCell ref="B28:B31"/>
    <mergeCell ref="E30:E31"/>
    <mergeCell ref="B17:B27"/>
  </mergeCells>
  <phoneticPr fontId="1" type="noConversion"/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AA53-1C3A-4C68-9AFA-D476E513E32E}">
  <dimension ref="A1:R102"/>
  <sheetViews>
    <sheetView topLeftCell="A5" zoomScale="130" zoomScaleNormal="130" workbookViewId="0">
      <selection activeCell="O27" sqref="O27"/>
    </sheetView>
  </sheetViews>
  <sheetFormatPr defaultRowHeight="16.5"/>
  <sheetData>
    <row r="1" spans="1:18" ht="26.25">
      <c r="A1" s="304" t="s">
        <v>800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8" ht="20.25">
      <c r="A2" s="305" t="s">
        <v>801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146"/>
      <c r="Q2" s="146"/>
      <c r="R2" s="146"/>
    </row>
    <row r="3" spans="1:18" ht="19.5">
      <c r="A3" s="307" t="s">
        <v>802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</row>
    <row r="4" spans="1:18" ht="20.25">
      <c r="A4" s="309" t="s">
        <v>803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</row>
    <row r="5" spans="1:18" ht="19.5">
      <c r="A5" s="310"/>
      <c r="B5" s="311"/>
      <c r="C5" s="147" t="s">
        <v>804</v>
      </c>
      <c r="D5" s="312" t="s">
        <v>805</v>
      </c>
      <c r="E5" s="313"/>
      <c r="F5" s="314" t="s">
        <v>806</v>
      </c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148"/>
    </row>
    <row r="6" spans="1:18" ht="19.5">
      <c r="A6" s="311"/>
      <c r="B6" s="311"/>
      <c r="C6" s="147" t="s">
        <v>807</v>
      </c>
      <c r="D6" s="316" t="s">
        <v>808</v>
      </c>
      <c r="E6" s="317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149"/>
    </row>
    <row r="7" spans="1:18" ht="20.25">
      <c r="A7" s="285" t="s">
        <v>737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106"/>
    </row>
    <row r="8" spans="1:18">
      <c r="A8" s="286" t="s">
        <v>738</v>
      </c>
      <c r="B8" s="288" t="s">
        <v>739</v>
      </c>
      <c r="C8" s="289"/>
      <c r="D8" s="292" t="s">
        <v>740</v>
      </c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4"/>
      <c r="R8" s="295" t="s">
        <v>741</v>
      </c>
    </row>
    <row r="9" spans="1:18" ht="17.25" thickBot="1">
      <c r="A9" s="287"/>
      <c r="B9" s="290"/>
      <c r="C9" s="291"/>
      <c r="D9" s="107"/>
      <c r="E9" s="107"/>
      <c r="F9" s="107"/>
      <c r="G9" s="107" t="s">
        <v>745</v>
      </c>
      <c r="H9" s="107" t="s">
        <v>746</v>
      </c>
      <c r="I9" s="107" t="s">
        <v>747</v>
      </c>
      <c r="J9" s="107" t="s">
        <v>748</v>
      </c>
      <c r="K9" s="107" t="s">
        <v>749</v>
      </c>
      <c r="L9" s="107" t="s">
        <v>750</v>
      </c>
      <c r="M9" s="108" t="s">
        <v>751</v>
      </c>
      <c r="N9" s="109" t="s">
        <v>752</v>
      </c>
      <c r="O9" s="109" t="s">
        <v>753</v>
      </c>
      <c r="P9" s="109" t="s">
        <v>754</v>
      </c>
      <c r="Q9" s="110" t="s">
        <v>755</v>
      </c>
      <c r="R9" s="296"/>
    </row>
    <row r="10" spans="1:18" ht="17.25" thickTop="1">
      <c r="A10" s="297" t="s">
        <v>756</v>
      </c>
      <c r="B10" s="300" t="s">
        <v>757</v>
      </c>
      <c r="C10" s="301"/>
      <c r="D10" s="111"/>
      <c r="E10" s="111"/>
      <c r="F10" s="111"/>
      <c r="G10" s="111"/>
      <c r="H10" s="111"/>
      <c r="I10" s="111"/>
      <c r="J10" s="111"/>
      <c r="K10" s="111"/>
      <c r="L10" s="112"/>
      <c r="M10" s="113"/>
      <c r="N10" s="114"/>
      <c r="O10" s="114"/>
      <c r="P10" s="114"/>
      <c r="Q10" s="114"/>
      <c r="R10" s="114"/>
    </row>
    <row r="11" spans="1:18">
      <c r="A11" s="298"/>
      <c r="B11" s="276" t="s">
        <v>758</v>
      </c>
      <c r="C11" s="277"/>
      <c r="D11" s="115"/>
      <c r="E11" s="115"/>
      <c r="F11" s="115"/>
      <c r="G11" s="115"/>
      <c r="H11" s="115"/>
      <c r="I11" s="115"/>
      <c r="J11" s="115"/>
      <c r="K11" s="115"/>
      <c r="L11" s="116"/>
      <c r="M11" s="117"/>
      <c r="N11" s="118"/>
      <c r="O11" s="118"/>
      <c r="P11" s="118"/>
      <c r="Q11" s="118"/>
      <c r="R11" s="118"/>
    </row>
    <row r="12" spans="1:18">
      <c r="A12" s="298"/>
      <c r="B12" s="276" t="s">
        <v>759</v>
      </c>
      <c r="C12" s="277"/>
      <c r="D12" s="115"/>
      <c r="E12" s="115"/>
      <c r="F12" s="115"/>
      <c r="G12" s="115"/>
      <c r="H12" s="115"/>
      <c r="I12" s="115"/>
      <c r="J12" s="115"/>
      <c r="K12" s="115"/>
      <c r="L12" s="119"/>
      <c r="M12" s="117"/>
      <c r="N12" s="118"/>
      <c r="O12" s="118"/>
      <c r="P12" s="118"/>
      <c r="Q12" s="118"/>
      <c r="R12" s="118"/>
    </row>
    <row r="13" spans="1:18">
      <c r="A13" s="298"/>
      <c r="B13" s="302" t="s">
        <v>760</v>
      </c>
      <c r="C13" s="121" t="s">
        <v>761</v>
      </c>
      <c r="D13" s="122"/>
      <c r="E13" s="122"/>
      <c r="F13" s="122"/>
      <c r="G13" s="123"/>
      <c r="H13" s="115"/>
      <c r="I13" s="115"/>
      <c r="J13" s="115"/>
      <c r="K13" s="115"/>
      <c r="L13" s="116"/>
      <c r="M13" s="117"/>
      <c r="N13" s="118"/>
      <c r="O13" s="118"/>
      <c r="P13" s="118"/>
      <c r="Q13" s="118"/>
      <c r="R13" s="118"/>
    </row>
    <row r="14" spans="1:18">
      <c r="A14" s="299"/>
      <c r="B14" s="303"/>
      <c r="C14" s="121" t="s">
        <v>762</v>
      </c>
      <c r="D14" s="115"/>
      <c r="E14" s="115"/>
      <c r="F14" s="115"/>
      <c r="G14" s="115"/>
      <c r="H14" s="115"/>
      <c r="I14" s="115"/>
      <c r="J14" s="115"/>
      <c r="K14" s="115"/>
      <c r="L14" s="119"/>
      <c r="M14" s="117"/>
      <c r="N14" s="118"/>
      <c r="O14" s="118"/>
      <c r="P14" s="118"/>
      <c r="Q14" s="118"/>
      <c r="R14" s="118"/>
    </row>
    <row r="15" spans="1:18">
      <c r="A15" s="318" t="s">
        <v>763</v>
      </c>
      <c r="B15" s="302" t="s">
        <v>764</v>
      </c>
      <c r="C15" s="124" t="s">
        <v>765</v>
      </c>
      <c r="D15" s="115"/>
      <c r="E15" s="122"/>
      <c r="F15" s="115"/>
      <c r="G15" s="115"/>
      <c r="H15" s="115"/>
      <c r="I15" s="115"/>
      <c r="J15" s="115"/>
      <c r="K15" s="115"/>
      <c r="L15" s="116"/>
      <c r="M15" s="117"/>
      <c r="N15" s="118"/>
      <c r="O15" s="118"/>
      <c r="P15" s="118"/>
      <c r="Q15" s="118"/>
      <c r="R15" s="118"/>
    </row>
    <row r="16" spans="1:18">
      <c r="A16" s="298"/>
      <c r="B16" s="319"/>
      <c r="C16" s="124" t="s">
        <v>766</v>
      </c>
      <c r="D16" s="122"/>
      <c r="E16" s="122"/>
      <c r="F16" s="122"/>
      <c r="G16" s="122"/>
      <c r="H16" s="126"/>
      <c r="I16" s="115"/>
      <c r="J16" s="115"/>
      <c r="K16" s="115"/>
      <c r="L16" s="116"/>
      <c r="M16" s="117"/>
      <c r="N16" s="118"/>
      <c r="O16" s="118"/>
      <c r="P16" s="118"/>
      <c r="Q16" s="118"/>
      <c r="R16" s="118"/>
    </row>
    <row r="17" spans="1:18">
      <c r="A17" s="298"/>
      <c r="B17" s="319"/>
      <c r="C17" s="124" t="s">
        <v>767</v>
      </c>
      <c r="D17" s="122"/>
      <c r="E17" s="122"/>
      <c r="F17" s="122"/>
      <c r="G17" s="115"/>
      <c r="H17" s="115"/>
      <c r="I17" s="115"/>
      <c r="J17" s="115"/>
      <c r="K17" s="115"/>
      <c r="L17" s="116"/>
      <c r="M17" s="117"/>
      <c r="N17" s="118"/>
      <c r="O17" s="118"/>
      <c r="P17" s="118"/>
      <c r="Q17" s="118"/>
      <c r="R17" s="118"/>
    </row>
    <row r="18" spans="1:18">
      <c r="A18" s="298"/>
      <c r="B18" s="319"/>
      <c r="C18" s="124" t="s">
        <v>768</v>
      </c>
      <c r="D18" s="115"/>
      <c r="E18" s="115"/>
      <c r="F18" s="115"/>
      <c r="G18" s="122"/>
      <c r="H18" s="115"/>
      <c r="I18" s="115"/>
      <c r="J18" s="115"/>
      <c r="K18" s="115"/>
      <c r="L18" s="116"/>
      <c r="M18" s="117"/>
      <c r="N18" s="118"/>
      <c r="O18" s="118"/>
      <c r="P18" s="118"/>
      <c r="Q18" s="118"/>
      <c r="R18" s="118"/>
    </row>
    <row r="19" spans="1:18">
      <c r="A19" s="298"/>
      <c r="B19" s="319"/>
      <c r="C19" s="124" t="s">
        <v>769</v>
      </c>
      <c r="D19" s="115"/>
      <c r="E19" s="115"/>
      <c r="F19" s="115"/>
      <c r="G19" s="122"/>
      <c r="H19" s="115"/>
      <c r="I19" s="115"/>
      <c r="J19" s="115"/>
      <c r="K19" s="115"/>
      <c r="L19" s="116"/>
      <c r="M19" s="117"/>
      <c r="N19" s="118"/>
      <c r="O19" s="118"/>
      <c r="P19" s="118"/>
      <c r="Q19" s="118"/>
      <c r="R19" s="118"/>
    </row>
    <row r="20" spans="1:18">
      <c r="A20" s="299"/>
      <c r="B20" s="303"/>
      <c r="C20" s="124" t="s">
        <v>770</v>
      </c>
      <c r="D20" s="115"/>
      <c r="E20" s="126"/>
      <c r="F20" s="115"/>
      <c r="G20" s="115"/>
      <c r="H20" s="115"/>
      <c r="I20" s="115"/>
      <c r="J20" s="115"/>
      <c r="K20" s="115"/>
      <c r="L20" s="116"/>
      <c r="M20" s="117"/>
      <c r="N20" s="118"/>
      <c r="O20" s="118"/>
      <c r="P20" s="118"/>
      <c r="Q20" s="118"/>
      <c r="R20" s="118"/>
    </row>
    <row r="21" spans="1:18">
      <c r="A21" s="318" t="s">
        <v>771</v>
      </c>
      <c r="B21" s="276" t="s">
        <v>772</v>
      </c>
      <c r="C21" s="277"/>
      <c r="D21" s="122"/>
      <c r="E21" s="122"/>
      <c r="F21" s="122"/>
      <c r="G21" s="122"/>
      <c r="H21" s="115"/>
      <c r="I21" s="115"/>
      <c r="J21" s="115"/>
      <c r="K21" s="115"/>
      <c r="L21" s="127"/>
      <c r="M21" s="117"/>
      <c r="N21" s="118"/>
      <c r="O21" s="118"/>
      <c r="P21" s="118"/>
      <c r="Q21" s="118"/>
      <c r="R21" s="118"/>
    </row>
    <row r="22" spans="1:18">
      <c r="A22" s="299"/>
      <c r="B22" s="276" t="s">
        <v>773</v>
      </c>
      <c r="C22" s="277"/>
      <c r="D22" s="115"/>
      <c r="E22" s="115"/>
      <c r="F22" s="115"/>
      <c r="G22" s="122"/>
      <c r="H22" s="115"/>
      <c r="I22" s="115"/>
      <c r="J22" s="115"/>
      <c r="K22" s="115"/>
      <c r="L22" s="116"/>
      <c r="M22" s="117"/>
      <c r="N22" s="118"/>
      <c r="O22" s="118"/>
      <c r="P22" s="118"/>
      <c r="Q22" s="118"/>
      <c r="R22" s="118"/>
    </row>
    <row r="23" spans="1:18">
      <c r="A23" s="318" t="s">
        <v>774</v>
      </c>
      <c r="B23" s="120" t="s">
        <v>775</v>
      </c>
      <c r="C23" s="128" t="s">
        <v>776</v>
      </c>
      <c r="D23" s="115"/>
      <c r="E23" s="122"/>
      <c r="F23" s="115"/>
      <c r="G23" s="122"/>
      <c r="H23" s="115"/>
      <c r="I23" s="115"/>
      <c r="J23" s="115"/>
      <c r="K23" s="115"/>
      <c r="L23" s="116"/>
      <c r="M23" s="117"/>
      <c r="N23" s="118"/>
      <c r="O23" s="118"/>
      <c r="P23" s="118"/>
      <c r="Q23" s="118"/>
      <c r="R23" s="118"/>
    </row>
    <row r="24" spans="1:18">
      <c r="A24" s="298"/>
      <c r="B24" s="125" t="s">
        <v>777</v>
      </c>
      <c r="C24" s="128" t="s">
        <v>778</v>
      </c>
      <c r="D24" s="115"/>
      <c r="E24" s="115"/>
      <c r="F24" s="115"/>
      <c r="G24" s="115"/>
      <c r="H24" s="122"/>
      <c r="I24" s="115"/>
      <c r="J24" s="115"/>
      <c r="K24" s="115"/>
      <c r="L24" s="116"/>
      <c r="M24" s="117"/>
      <c r="N24" s="118"/>
      <c r="O24" s="118"/>
      <c r="P24" s="118"/>
      <c r="Q24" s="118"/>
      <c r="R24" s="118"/>
    </row>
    <row r="25" spans="1:18">
      <c r="A25" s="299"/>
      <c r="B25" s="129"/>
      <c r="C25" s="128" t="s">
        <v>779</v>
      </c>
      <c r="D25" s="115"/>
      <c r="E25" s="115"/>
      <c r="F25" s="115"/>
      <c r="G25" s="115"/>
      <c r="H25" s="115"/>
      <c r="I25" s="115"/>
      <c r="J25" s="122"/>
      <c r="K25" s="115"/>
      <c r="L25" s="116"/>
      <c r="M25" s="117"/>
      <c r="N25" s="118"/>
      <c r="O25" s="118"/>
      <c r="P25" s="118"/>
      <c r="Q25" s="118"/>
      <c r="R25" s="118"/>
    </row>
    <row r="26" spans="1:18">
      <c r="A26" s="130" t="s">
        <v>780</v>
      </c>
      <c r="B26" s="276" t="s">
        <v>781</v>
      </c>
      <c r="C26" s="277"/>
      <c r="D26" s="115"/>
      <c r="E26" s="115"/>
      <c r="F26" s="115"/>
      <c r="G26" s="115"/>
      <c r="H26" s="115"/>
      <c r="I26" s="131"/>
      <c r="J26" s="115"/>
      <c r="K26" s="122"/>
      <c r="L26" s="116"/>
      <c r="M26" s="117"/>
      <c r="N26" s="118"/>
      <c r="O26" s="118"/>
      <c r="P26" s="118"/>
      <c r="Q26" s="118"/>
      <c r="R26" s="118"/>
    </row>
    <row r="27" spans="1:18" ht="40.5">
      <c r="A27" s="132"/>
      <c r="B27" s="133"/>
      <c r="C27" s="133"/>
      <c r="D27" s="134"/>
      <c r="E27" s="134"/>
      <c r="F27" s="134"/>
      <c r="G27" s="134" t="s">
        <v>783</v>
      </c>
      <c r="H27" s="134"/>
      <c r="I27" s="134"/>
      <c r="J27" s="134"/>
      <c r="K27" s="135" t="s">
        <v>829</v>
      </c>
      <c r="L27" s="136"/>
    </row>
    <row r="28" spans="1:18" ht="20.25">
      <c r="A28" s="278" t="s">
        <v>784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</row>
    <row r="29" spans="1:18" ht="17.25">
      <c r="A29" s="279" t="s">
        <v>785</v>
      </c>
      <c r="B29" s="282" t="s">
        <v>786</v>
      </c>
      <c r="C29" s="283"/>
      <c r="D29" s="283"/>
      <c r="E29" s="283"/>
      <c r="F29" s="284"/>
      <c r="G29" s="282" t="s">
        <v>787</v>
      </c>
      <c r="H29" s="283"/>
      <c r="I29" s="283"/>
      <c r="J29" s="283"/>
      <c r="K29" s="284"/>
      <c r="L29" s="137"/>
      <c r="M29" s="274" t="s">
        <v>788</v>
      </c>
      <c r="N29" s="274" t="s">
        <v>789</v>
      </c>
      <c r="O29" s="274" t="s">
        <v>790</v>
      </c>
      <c r="P29" s="274" t="s">
        <v>791</v>
      </c>
      <c r="Q29" s="274" t="s">
        <v>792</v>
      </c>
      <c r="R29" s="274" t="s">
        <v>101</v>
      </c>
    </row>
    <row r="30" spans="1:18" ht="17.25">
      <c r="A30" s="280"/>
      <c r="B30" s="138" t="s">
        <v>713</v>
      </c>
      <c r="C30" s="138" t="s">
        <v>793</v>
      </c>
      <c r="D30" s="138" t="s">
        <v>794</v>
      </c>
      <c r="E30" s="138" t="s">
        <v>795</v>
      </c>
      <c r="F30" s="138" t="s">
        <v>768</v>
      </c>
      <c r="G30" s="138" t="s">
        <v>713</v>
      </c>
      <c r="H30" s="138" t="s">
        <v>796</v>
      </c>
      <c r="I30" s="138" t="s">
        <v>797</v>
      </c>
      <c r="J30" s="138" t="s">
        <v>795</v>
      </c>
      <c r="K30" s="138" t="s">
        <v>768</v>
      </c>
      <c r="L30" s="139"/>
      <c r="M30" s="275"/>
      <c r="N30" s="275"/>
      <c r="O30" s="275"/>
      <c r="P30" s="275"/>
      <c r="Q30" s="275"/>
      <c r="R30" s="275"/>
    </row>
    <row r="31" spans="1:18" ht="17.25">
      <c r="A31" s="281"/>
      <c r="B31" s="140">
        <v>22</v>
      </c>
      <c r="C31" s="140">
        <v>49</v>
      </c>
      <c r="D31" s="140"/>
      <c r="E31" s="141"/>
      <c r="F31" s="141"/>
      <c r="G31" s="141"/>
      <c r="H31" s="142"/>
      <c r="I31" s="140"/>
      <c r="J31" s="141"/>
      <c r="K31" s="141"/>
      <c r="L31" s="140"/>
      <c r="M31" s="140"/>
      <c r="N31" s="141"/>
      <c r="O31" s="141"/>
      <c r="P31" s="141"/>
      <c r="Q31" s="141"/>
      <c r="R31" s="51"/>
    </row>
    <row r="32" spans="1:18" ht="33">
      <c r="A32" s="143" t="s">
        <v>721</v>
      </c>
      <c r="B32" s="141" t="s">
        <v>798</v>
      </c>
      <c r="C32" s="141" t="s">
        <v>799</v>
      </c>
      <c r="D32" s="141"/>
      <c r="E32" s="141"/>
      <c r="F32" s="141"/>
      <c r="G32" s="141"/>
      <c r="H32" s="144"/>
      <c r="I32" s="141"/>
      <c r="J32" s="141"/>
      <c r="K32" s="141"/>
      <c r="L32" s="140"/>
      <c r="M32" s="145"/>
      <c r="N32" s="141"/>
      <c r="O32" s="141"/>
      <c r="P32" s="141"/>
      <c r="Q32" s="141"/>
      <c r="R32" s="51"/>
    </row>
    <row r="33" spans="1:17" ht="20.25">
      <c r="A33" s="150"/>
      <c r="B33" s="151"/>
      <c r="C33" s="151"/>
      <c r="D33" s="151"/>
      <c r="E33" s="151"/>
      <c r="F33" s="151"/>
      <c r="G33" s="151"/>
      <c r="H33" s="152"/>
      <c r="I33" s="151"/>
      <c r="J33" s="151"/>
      <c r="K33" s="151"/>
      <c r="L33" s="153"/>
      <c r="M33" s="136"/>
      <c r="N33" s="151"/>
      <c r="O33" s="151"/>
      <c r="P33" s="151"/>
      <c r="Q33" s="151"/>
    </row>
    <row r="34" spans="1:17" ht="20.25">
      <c r="A34" s="150"/>
      <c r="B34" s="151"/>
      <c r="C34" s="151"/>
      <c r="D34" s="151"/>
      <c r="E34" s="151"/>
      <c r="F34" s="151"/>
      <c r="G34" s="151"/>
      <c r="H34" s="152"/>
      <c r="I34" s="151"/>
      <c r="J34" s="151"/>
      <c r="K34" s="151"/>
      <c r="L34" s="153"/>
      <c r="M34" s="136"/>
      <c r="N34" s="151"/>
      <c r="O34" s="151"/>
      <c r="P34" s="151"/>
      <c r="Q34" s="151"/>
    </row>
    <row r="35" spans="1:17" ht="20.25">
      <c r="A35" s="150"/>
      <c r="B35" s="151"/>
      <c r="C35" s="151"/>
      <c r="D35" s="151"/>
      <c r="E35" s="151"/>
      <c r="F35" s="151"/>
      <c r="G35" s="151"/>
      <c r="H35" s="152"/>
      <c r="I35" s="151"/>
      <c r="J35" s="151"/>
      <c r="K35" s="151"/>
      <c r="L35" s="153"/>
      <c r="M35" s="136"/>
      <c r="N35" s="151"/>
      <c r="O35" s="151"/>
      <c r="P35" s="151"/>
      <c r="Q35" s="151"/>
    </row>
    <row r="36" spans="1:17" ht="20.25">
      <c r="A36" s="150"/>
      <c r="B36" s="151"/>
      <c r="C36" s="151"/>
      <c r="D36" s="151"/>
      <c r="E36" s="151"/>
      <c r="F36" s="151"/>
      <c r="G36" s="151"/>
      <c r="H36" s="152"/>
      <c r="I36" s="151"/>
      <c r="J36" s="151"/>
      <c r="K36" s="151"/>
      <c r="L36" s="153"/>
      <c r="M36" s="136"/>
      <c r="N36" s="151"/>
      <c r="O36" s="151"/>
      <c r="P36" s="151"/>
      <c r="Q36" s="151"/>
    </row>
    <row r="38" spans="1:17" ht="20.25">
      <c r="A38" s="320" t="s">
        <v>809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</row>
    <row r="40" spans="1:17" ht="20.25">
      <c r="A40" s="321" t="s">
        <v>810</v>
      </c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</row>
    <row r="41" spans="1:17">
      <c r="A41" s="322" t="s">
        <v>730</v>
      </c>
      <c r="B41" s="324" t="s">
        <v>102</v>
      </c>
      <c r="C41" s="325"/>
      <c r="D41" s="325"/>
      <c r="E41" s="326"/>
      <c r="F41" s="324" t="s">
        <v>105</v>
      </c>
      <c r="G41" s="326"/>
      <c r="H41" s="324" t="s">
        <v>713</v>
      </c>
      <c r="I41" s="326"/>
      <c r="J41" s="324" t="s">
        <v>797</v>
      </c>
      <c r="K41" s="326"/>
      <c r="L41" s="327" t="s">
        <v>101</v>
      </c>
      <c r="M41" s="328"/>
      <c r="N41" s="329"/>
    </row>
    <row r="42" spans="1:17">
      <c r="A42" s="323"/>
      <c r="B42" s="88" t="s">
        <v>811</v>
      </c>
      <c r="C42" s="88" t="s">
        <v>812</v>
      </c>
      <c r="D42" s="88" t="s">
        <v>813</v>
      </c>
      <c r="E42" s="88" t="s">
        <v>814</v>
      </c>
      <c r="F42" s="88" t="s">
        <v>815</v>
      </c>
      <c r="G42" s="88" t="s">
        <v>816</v>
      </c>
      <c r="H42" s="88" t="s">
        <v>817</v>
      </c>
      <c r="I42" s="88" t="s">
        <v>818</v>
      </c>
      <c r="J42" s="88" t="s">
        <v>819</v>
      </c>
      <c r="K42" s="88" t="s">
        <v>807</v>
      </c>
      <c r="L42" s="330"/>
      <c r="M42" s="331"/>
      <c r="N42" s="332"/>
    </row>
    <row r="43" spans="1:17">
      <c r="A43" s="51" t="s">
        <v>539</v>
      </c>
      <c r="B43" s="51">
        <v>131</v>
      </c>
      <c r="C43" s="51"/>
      <c r="D43" s="51"/>
      <c r="E43" s="51"/>
      <c r="F43" s="51"/>
      <c r="G43" s="51"/>
      <c r="H43" s="51"/>
      <c r="I43" s="51"/>
      <c r="J43" s="51"/>
      <c r="K43" s="51"/>
      <c r="L43" s="333"/>
      <c r="M43" s="334"/>
      <c r="N43" s="335"/>
    </row>
    <row r="44" spans="1:17">
      <c r="A44" s="51" t="s">
        <v>618</v>
      </c>
      <c r="B44" s="51">
        <v>25</v>
      </c>
      <c r="C44" s="51"/>
      <c r="D44" s="51"/>
      <c r="E44" s="51"/>
      <c r="F44" s="51"/>
      <c r="G44" s="51"/>
      <c r="H44" s="51"/>
      <c r="I44" s="51"/>
      <c r="J44" s="51"/>
      <c r="K44" s="51"/>
      <c r="L44" s="333"/>
      <c r="M44" s="334"/>
      <c r="N44" s="335"/>
    </row>
    <row r="45" spans="1:17">
      <c r="A45" s="51" t="s">
        <v>620</v>
      </c>
      <c r="B45" s="51">
        <v>22</v>
      </c>
      <c r="C45" s="51"/>
      <c r="D45" s="51"/>
      <c r="E45" s="51"/>
      <c r="F45" s="51"/>
      <c r="G45" s="51"/>
      <c r="H45" s="51"/>
      <c r="I45" s="51"/>
      <c r="J45" s="51"/>
      <c r="K45" s="51"/>
      <c r="L45" s="333"/>
      <c r="M45" s="334"/>
      <c r="N45" s="335"/>
    </row>
    <row r="46" spans="1:17">
      <c r="A46" s="51" t="s">
        <v>621</v>
      </c>
      <c r="B46" s="51">
        <v>53</v>
      </c>
      <c r="C46" s="51"/>
      <c r="D46" s="51"/>
      <c r="E46" s="51"/>
      <c r="F46" s="51"/>
      <c r="G46" s="51"/>
      <c r="H46" s="51"/>
      <c r="I46" s="51"/>
      <c r="J46" s="51"/>
      <c r="K46" s="51"/>
      <c r="L46" s="333"/>
      <c r="M46" s="334"/>
      <c r="N46" s="335"/>
    </row>
    <row r="47" spans="1:17">
      <c r="A47" s="51" t="s">
        <v>622</v>
      </c>
      <c r="B47" s="51">
        <v>11</v>
      </c>
      <c r="C47" s="51"/>
      <c r="D47" s="51"/>
      <c r="E47" s="51"/>
      <c r="F47" s="51"/>
      <c r="G47" s="51"/>
      <c r="H47" s="51"/>
      <c r="I47" s="51"/>
      <c r="J47" s="51"/>
      <c r="K47" s="51"/>
      <c r="L47" s="333"/>
      <c r="M47" s="334"/>
      <c r="N47" s="335"/>
    </row>
    <row r="48" spans="1:17">
      <c r="A48" s="51" t="s">
        <v>623</v>
      </c>
      <c r="B48" s="51">
        <v>2</v>
      </c>
      <c r="C48" s="51"/>
      <c r="D48" s="51"/>
      <c r="E48" s="51"/>
      <c r="F48" s="51"/>
      <c r="G48" s="51"/>
      <c r="H48" s="51"/>
      <c r="I48" s="51"/>
      <c r="J48" s="51"/>
      <c r="K48" s="51"/>
      <c r="L48" s="333"/>
      <c r="M48" s="334"/>
      <c r="N48" s="335"/>
    </row>
    <row r="49" spans="1:14">
      <c r="A49" s="51" t="s">
        <v>624</v>
      </c>
      <c r="B49" s="51">
        <v>21</v>
      </c>
      <c r="C49" s="51"/>
      <c r="D49" s="51"/>
      <c r="E49" s="51"/>
      <c r="F49" s="51"/>
      <c r="G49" s="51"/>
      <c r="H49" s="51"/>
      <c r="I49" s="51"/>
      <c r="J49" s="51"/>
      <c r="K49" s="51"/>
      <c r="L49" s="333"/>
      <c r="M49" s="334"/>
      <c r="N49" s="335"/>
    </row>
    <row r="50" spans="1:14">
      <c r="A50" s="51" t="s">
        <v>289</v>
      </c>
      <c r="B50" s="51">
        <f>SUM(B43:B49)</f>
        <v>265</v>
      </c>
      <c r="C50" s="51"/>
      <c r="D50" s="51"/>
      <c r="E50" s="51"/>
      <c r="F50" s="51"/>
      <c r="G50" s="51"/>
      <c r="H50" s="51"/>
      <c r="I50" s="51"/>
      <c r="J50" s="51"/>
      <c r="K50" s="51"/>
      <c r="L50" s="333"/>
      <c r="M50" s="334"/>
      <c r="N50" s="335"/>
    </row>
    <row r="51" spans="1:14" ht="20.25">
      <c r="A51" s="321" t="s">
        <v>691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</row>
    <row r="52" spans="1:14">
      <c r="A52" s="336" t="s">
        <v>655</v>
      </c>
      <c r="B52" s="338" t="s">
        <v>102</v>
      </c>
      <c r="C52" s="339"/>
      <c r="D52" s="339"/>
      <c r="E52" s="340"/>
      <c r="F52" s="338" t="s">
        <v>105</v>
      </c>
      <c r="G52" s="340"/>
      <c r="H52" s="338" t="s">
        <v>713</v>
      </c>
      <c r="I52" s="340"/>
      <c r="J52" s="338" t="s">
        <v>797</v>
      </c>
      <c r="K52" s="340"/>
      <c r="L52" s="327" t="s">
        <v>101</v>
      </c>
      <c r="M52" s="328"/>
      <c r="N52" s="329"/>
    </row>
    <row r="53" spans="1:14">
      <c r="A53" s="337"/>
      <c r="B53" s="88" t="s">
        <v>811</v>
      </c>
      <c r="C53" s="88" t="s">
        <v>812</v>
      </c>
      <c r="D53" s="88" t="s">
        <v>813</v>
      </c>
      <c r="E53" s="88" t="s">
        <v>814</v>
      </c>
      <c r="F53" s="88" t="s">
        <v>820</v>
      </c>
      <c r="G53" s="88" t="s">
        <v>821</v>
      </c>
      <c r="H53" s="88" t="s">
        <v>817</v>
      </c>
      <c r="I53" s="88" t="s">
        <v>818</v>
      </c>
      <c r="J53" s="88" t="s">
        <v>819</v>
      </c>
      <c r="K53" s="88" t="s">
        <v>807</v>
      </c>
      <c r="L53" s="330"/>
      <c r="M53" s="331"/>
      <c r="N53" s="332"/>
    </row>
    <row r="54" spans="1:14">
      <c r="A54" s="51" t="s">
        <v>493</v>
      </c>
      <c r="B54" s="51">
        <v>47</v>
      </c>
      <c r="C54" s="51"/>
      <c r="D54" s="51">
        <v>47</v>
      </c>
      <c r="E54" s="51"/>
      <c r="F54" s="51"/>
      <c r="G54" s="51"/>
      <c r="H54" s="51"/>
      <c r="I54" s="51"/>
      <c r="J54" s="51"/>
      <c r="K54" s="51"/>
      <c r="L54" s="333"/>
      <c r="M54" s="334"/>
      <c r="N54" s="335"/>
    </row>
    <row r="55" spans="1:14">
      <c r="A55" s="51" t="s">
        <v>625</v>
      </c>
      <c r="B55" s="51">
        <v>19</v>
      </c>
      <c r="C55" s="51"/>
      <c r="D55" s="51">
        <v>19</v>
      </c>
      <c r="E55" s="51"/>
      <c r="F55" s="51"/>
      <c r="G55" s="51"/>
      <c r="H55" s="51"/>
      <c r="I55" s="51"/>
      <c r="J55" s="51"/>
      <c r="K55" s="51"/>
      <c r="L55" s="333"/>
      <c r="M55" s="334"/>
      <c r="N55" s="335"/>
    </row>
    <row r="56" spans="1:14">
      <c r="A56" s="51" t="s">
        <v>585</v>
      </c>
      <c r="B56" s="51">
        <v>8</v>
      </c>
      <c r="C56" s="51"/>
      <c r="D56" s="51">
        <v>8</v>
      </c>
      <c r="E56" s="51"/>
      <c r="F56" s="51"/>
      <c r="G56" s="51"/>
      <c r="H56" s="51"/>
      <c r="I56" s="51"/>
      <c r="J56" s="51"/>
      <c r="K56" s="51"/>
      <c r="L56" s="333"/>
      <c r="M56" s="334"/>
      <c r="N56" s="335"/>
    </row>
    <row r="57" spans="1:14">
      <c r="A57" s="51" t="s">
        <v>627</v>
      </c>
      <c r="B57" s="51">
        <v>8</v>
      </c>
      <c r="C57" s="51"/>
      <c r="D57" s="51">
        <v>8</v>
      </c>
      <c r="E57" s="51"/>
      <c r="F57" s="51"/>
      <c r="G57" s="51"/>
      <c r="H57" s="51"/>
      <c r="I57" s="51"/>
      <c r="J57" s="51"/>
      <c r="K57" s="51"/>
      <c r="L57" s="333"/>
      <c r="M57" s="334"/>
      <c r="N57" s="335"/>
    </row>
    <row r="58" spans="1:14">
      <c r="A58" s="100" t="s">
        <v>289</v>
      </c>
      <c r="B58">
        <f>SUM(B54:B57)</f>
        <v>82</v>
      </c>
      <c r="L58" s="62"/>
    </row>
    <row r="59" spans="1:14" ht="20.25">
      <c r="A59" s="321" t="s">
        <v>822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</row>
    <row r="60" spans="1:14">
      <c r="A60" s="336" t="s">
        <v>655</v>
      </c>
      <c r="B60" s="338" t="s">
        <v>102</v>
      </c>
      <c r="C60" s="339"/>
      <c r="D60" s="339"/>
      <c r="E60" s="340"/>
      <c r="F60" s="338" t="s">
        <v>105</v>
      </c>
      <c r="G60" s="340"/>
      <c r="H60" s="338" t="s">
        <v>713</v>
      </c>
      <c r="I60" s="340"/>
      <c r="J60" s="338" t="s">
        <v>797</v>
      </c>
      <c r="K60" s="340"/>
      <c r="L60" s="327" t="s">
        <v>101</v>
      </c>
      <c r="M60" s="328"/>
      <c r="N60" s="329"/>
    </row>
    <row r="61" spans="1:14">
      <c r="A61" s="337"/>
      <c r="B61" s="88" t="s">
        <v>811</v>
      </c>
      <c r="C61" s="88" t="s">
        <v>812</v>
      </c>
      <c r="D61" s="88" t="s">
        <v>813</v>
      </c>
      <c r="E61" s="88" t="s">
        <v>814</v>
      </c>
      <c r="F61" s="88" t="s">
        <v>820</v>
      </c>
      <c r="G61" s="88" t="s">
        <v>821</v>
      </c>
      <c r="H61" s="88" t="s">
        <v>817</v>
      </c>
      <c r="I61" s="88" t="s">
        <v>818</v>
      </c>
      <c r="J61" s="88" t="s">
        <v>819</v>
      </c>
      <c r="K61" s="88" t="s">
        <v>807</v>
      </c>
      <c r="L61" s="330"/>
      <c r="M61" s="331"/>
      <c r="N61" s="332"/>
    </row>
    <row r="62" spans="1:14">
      <c r="A62" s="51" t="s">
        <v>539</v>
      </c>
      <c r="B62" s="51">
        <v>14</v>
      </c>
      <c r="C62" s="51"/>
      <c r="D62" s="51">
        <v>14</v>
      </c>
      <c r="E62" s="51"/>
      <c r="F62" s="51"/>
      <c r="G62" s="51"/>
      <c r="H62" s="51"/>
      <c r="I62" s="51"/>
      <c r="J62" s="51"/>
      <c r="K62" s="51"/>
      <c r="L62" s="341"/>
      <c r="M62" s="342"/>
      <c r="N62" s="343"/>
    </row>
    <row r="63" spans="1:14">
      <c r="A63" s="51" t="s">
        <v>618</v>
      </c>
      <c r="B63" s="51">
        <v>5</v>
      </c>
      <c r="C63" s="51"/>
      <c r="D63" s="51">
        <v>5</v>
      </c>
      <c r="E63" s="51"/>
      <c r="F63" s="51"/>
      <c r="G63" s="51"/>
      <c r="H63" s="51"/>
      <c r="I63" s="51"/>
      <c r="J63" s="51"/>
      <c r="K63" s="51"/>
      <c r="L63" s="341"/>
      <c r="M63" s="342"/>
      <c r="N63" s="343"/>
    </row>
    <row r="64" spans="1:14">
      <c r="A64" s="51" t="s">
        <v>289</v>
      </c>
      <c r="B64" s="51">
        <f>SUM(B62:B63)</f>
        <v>19</v>
      </c>
      <c r="C64" s="51"/>
      <c r="D64" s="51"/>
      <c r="E64" s="51"/>
      <c r="F64" s="51"/>
      <c r="G64" s="51"/>
      <c r="H64" s="51"/>
      <c r="I64" s="51"/>
      <c r="J64" s="51"/>
      <c r="K64" s="51"/>
      <c r="L64" s="333"/>
      <c r="M64" s="334"/>
      <c r="N64" s="335"/>
    </row>
    <row r="65" spans="1:14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333"/>
      <c r="M65" s="334"/>
      <c r="N65" s="335"/>
    </row>
    <row r="66" spans="1:14" ht="20.25">
      <c r="A66" s="321" t="s">
        <v>823</v>
      </c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</row>
    <row r="67" spans="1:14">
      <c r="A67" s="336" t="s">
        <v>655</v>
      </c>
      <c r="B67" s="338" t="s">
        <v>102</v>
      </c>
      <c r="C67" s="339"/>
      <c r="D67" s="339"/>
      <c r="E67" s="340"/>
      <c r="F67" s="338" t="s">
        <v>105</v>
      </c>
      <c r="G67" s="340"/>
      <c r="H67" s="338" t="s">
        <v>713</v>
      </c>
      <c r="I67" s="340"/>
      <c r="J67" s="338" t="s">
        <v>797</v>
      </c>
      <c r="K67" s="340"/>
      <c r="L67" s="327" t="s">
        <v>101</v>
      </c>
      <c r="M67" s="328"/>
      <c r="N67" s="329"/>
    </row>
    <row r="68" spans="1:14">
      <c r="A68" s="337"/>
      <c r="B68" s="88" t="s">
        <v>811</v>
      </c>
      <c r="C68" s="88" t="s">
        <v>812</v>
      </c>
      <c r="D68" s="88" t="s">
        <v>813</v>
      </c>
      <c r="E68" s="88" t="s">
        <v>814</v>
      </c>
      <c r="F68" s="88" t="s">
        <v>820</v>
      </c>
      <c r="G68" s="88" t="s">
        <v>821</v>
      </c>
      <c r="H68" s="88" t="s">
        <v>817</v>
      </c>
      <c r="I68" s="88" t="s">
        <v>818</v>
      </c>
      <c r="J68" s="88" t="s">
        <v>819</v>
      </c>
      <c r="K68" s="88" t="s">
        <v>807</v>
      </c>
      <c r="L68" s="330"/>
      <c r="M68" s="331"/>
      <c r="N68" s="332"/>
    </row>
    <row r="69" spans="1:14">
      <c r="A69" s="51"/>
      <c r="B69" s="51">
        <v>2</v>
      </c>
      <c r="C69" s="51"/>
      <c r="D69" s="51">
        <v>2</v>
      </c>
      <c r="E69" s="51"/>
      <c r="F69" s="51">
        <v>2</v>
      </c>
      <c r="G69" s="51"/>
      <c r="H69" s="51">
        <v>2</v>
      </c>
      <c r="I69" s="51"/>
      <c r="J69" s="51"/>
      <c r="K69" s="51"/>
      <c r="L69" s="341"/>
      <c r="M69" s="342"/>
      <c r="N69" s="343"/>
    </row>
    <row r="70" spans="1:14">
      <c r="A70" s="51" t="s">
        <v>289</v>
      </c>
      <c r="B70" s="51">
        <f>SUM(B69)</f>
        <v>2</v>
      </c>
      <c r="C70" s="51"/>
      <c r="D70" s="51"/>
      <c r="E70" s="51"/>
      <c r="F70" s="51"/>
      <c r="G70" s="51"/>
      <c r="H70" s="51"/>
      <c r="I70" s="51"/>
      <c r="J70" s="51"/>
      <c r="K70" s="51"/>
      <c r="L70" s="341"/>
      <c r="M70" s="342"/>
      <c r="N70" s="343"/>
    </row>
    <row r="71" spans="1:14">
      <c r="L71" s="154"/>
      <c r="M71" s="62"/>
      <c r="N71" s="62"/>
    </row>
    <row r="72" spans="1:14">
      <c r="L72" s="154"/>
      <c r="M72" s="62"/>
      <c r="N72" s="62"/>
    </row>
    <row r="73" spans="1:14">
      <c r="L73" s="154"/>
      <c r="M73" s="62"/>
      <c r="N73" s="62"/>
    </row>
    <row r="74" spans="1:14">
      <c r="L74" s="154"/>
      <c r="M74" s="62"/>
      <c r="N74" s="62"/>
    </row>
    <row r="75" spans="1:14">
      <c r="L75" s="154"/>
      <c r="M75" s="62"/>
      <c r="N75" s="62"/>
    </row>
    <row r="76" spans="1:14">
      <c r="L76" s="154"/>
      <c r="M76" s="62"/>
      <c r="N76" s="62"/>
    </row>
    <row r="77" spans="1:14">
      <c r="L77" s="154"/>
      <c r="M77" s="62"/>
      <c r="N77" s="62"/>
    </row>
    <row r="78" spans="1:14">
      <c r="L78" s="154"/>
      <c r="M78" s="62"/>
      <c r="N78" s="62"/>
    </row>
    <row r="79" spans="1:14">
      <c r="L79" s="154"/>
      <c r="M79" s="62"/>
      <c r="N79" s="62"/>
    </row>
    <row r="80" spans="1:14" ht="20.25">
      <c r="A80" s="321" t="s">
        <v>824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</row>
    <row r="81" spans="1:14">
      <c r="A81" s="336" t="s">
        <v>655</v>
      </c>
      <c r="B81" s="338" t="s">
        <v>102</v>
      </c>
      <c r="C81" s="339"/>
      <c r="D81" s="339"/>
      <c r="E81" s="340"/>
      <c r="F81" s="338" t="s">
        <v>105</v>
      </c>
      <c r="G81" s="340"/>
      <c r="H81" s="338" t="s">
        <v>713</v>
      </c>
      <c r="I81" s="340"/>
      <c r="J81" s="338" t="s">
        <v>797</v>
      </c>
      <c r="K81" s="340"/>
      <c r="L81" s="327" t="s">
        <v>101</v>
      </c>
      <c r="M81" s="328"/>
      <c r="N81" s="329"/>
    </row>
    <row r="82" spans="1:14">
      <c r="A82" s="337"/>
      <c r="B82" s="88" t="s">
        <v>811</v>
      </c>
      <c r="C82" s="88" t="s">
        <v>812</v>
      </c>
      <c r="D82" s="88" t="s">
        <v>813</v>
      </c>
      <c r="E82" s="88" t="s">
        <v>814</v>
      </c>
      <c r="F82" s="88" t="s">
        <v>820</v>
      </c>
      <c r="G82" s="88" t="s">
        <v>821</v>
      </c>
      <c r="H82" s="88" t="s">
        <v>817</v>
      </c>
      <c r="I82" s="88" t="s">
        <v>818</v>
      </c>
      <c r="J82" s="88" t="s">
        <v>819</v>
      </c>
      <c r="K82" s="88" t="s">
        <v>807</v>
      </c>
      <c r="L82" s="330"/>
      <c r="M82" s="331"/>
      <c r="N82" s="332"/>
    </row>
    <row r="83" spans="1:14">
      <c r="A83" s="51" t="s">
        <v>539</v>
      </c>
      <c r="B83" s="51">
        <v>1</v>
      </c>
      <c r="C83" s="51"/>
      <c r="D83" s="51" t="s">
        <v>485</v>
      </c>
      <c r="E83" s="51"/>
      <c r="F83" s="51">
        <v>1</v>
      </c>
      <c r="G83" s="51"/>
      <c r="H83" s="51">
        <v>1</v>
      </c>
      <c r="I83" s="51"/>
      <c r="J83" s="51"/>
      <c r="K83" s="51"/>
      <c r="L83" s="333"/>
      <c r="M83" s="334"/>
      <c r="N83" s="335"/>
    </row>
    <row r="84" spans="1:14">
      <c r="A84" s="51" t="s">
        <v>618</v>
      </c>
      <c r="B84" s="51">
        <v>33</v>
      </c>
      <c r="C84" s="51"/>
      <c r="D84" s="51">
        <v>32</v>
      </c>
      <c r="E84" s="51"/>
      <c r="F84" s="51">
        <v>33</v>
      </c>
      <c r="G84" s="51"/>
      <c r="H84" s="51">
        <v>33</v>
      </c>
      <c r="I84" s="51"/>
      <c r="J84" s="51">
        <v>33</v>
      </c>
      <c r="K84" s="51"/>
      <c r="L84" s="344" t="s">
        <v>825</v>
      </c>
      <c r="M84" s="345"/>
      <c r="N84" s="346"/>
    </row>
    <row r="85" spans="1:14">
      <c r="A85" s="51" t="s">
        <v>620</v>
      </c>
      <c r="B85" s="51">
        <v>39</v>
      </c>
      <c r="C85" s="51"/>
      <c r="D85" s="51">
        <v>39</v>
      </c>
      <c r="E85" s="51"/>
      <c r="F85" s="51">
        <v>39</v>
      </c>
      <c r="G85" s="51"/>
      <c r="H85" s="51">
        <v>39</v>
      </c>
      <c r="I85" s="51"/>
      <c r="J85" s="51">
        <v>39</v>
      </c>
      <c r="K85" s="51"/>
      <c r="L85" s="333" t="s">
        <v>826</v>
      </c>
      <c r="M85" s="334"/>
      <c r="N85" s="335"/>
    </row>
    <row r="86" spans="1:14">
      <c r="A86" s="51" t="s">
        <v>628</v>
      </c>
      <c r="B86" s="51">
        <v>10</v>
      </c>
      <c r="C86" s="51"/>
      <c r="D86" s="51">
        <v>10</v>
      </c>
      <c r="E86" s="51"/>
      <c r="F86" s="51">
        <v>10</v>
      </c>
      <c r="G86" s="51"/>
      <c r="H86" s="51">
        <v>10</v>
      </c>
      <c r="I86" s="51"/>
      <c r="J86" s="51"/>
      <c r="K86" s="51"/>
      <c r="L86" s="333"/>
      <c r="M86" s="334"/>
      <c r="N86" s="335"/>
    </row>
    <row r="87" spans="1:14">
      <c r="A87" s="100" t="s">
        <v>629</v>
      </c>
      <c r="B87" s="51">
        <v>20</v>
      </c>
      <c r="C87" s="51"/>
      <c r="D87" s="51">
        <v>20</v>
      </c>
      <c r="E87" s="51"/>
      <c r="F87" s="51">
        <v>20</v>
      </c>
      <c r="G87" s="51"/>
      <c r="H87" s="51">
        <v>20</v>
      </c>
      <c r="I87" s="51"/>
      <c r="J87" s="51">
        <v>10</v>
      </c>
      <c r="K87" s="51"/>
      <c r="L87" s="333" t="s">
        <v>827</v>
      </c>
      <c r="M87" s="334"/>
      <c r="N87" s="335"/>
    </row>
    <row r="88" spans="1:14">
      <c r="A88" s="51" t="s">
        <v>622</v>
      </c>
      <c r="B88" s="51">
        <v>10</v>
      </c>
      <c r="C88" s="51"/>
      <c r="D88" s="51">
        <v>10</v>
      </c>
      <c r="E88" s="51"/>
      <c r="F88" s="51">
        <v>10</v>
      </c>
      <c r="G88" s="51"/>
      <c r="H88" s="51">
        <v>10</v>
      </c>
      <c r="I88" s="51"/>
      <c r="J88" s="51"/>
      <c r="K88" s="51"/>
      <c r="L88" s="333"/>
      <c r="M88" s="334"/>
      <c r="N88" s="335"/>
    </row>
    <row r="89" spans="1:14">
      <c r="A89" s="51" t="s">
        <v>623</v>
      </c>
      <c r="B89" s="51">
        <v>7</v>
      </c>
      <c r="C89" s="51"/>
      <c r="D89" s="51">
        <v>7</v>
      </c>
      <c r="E89" s="51"/>
      <c r="F89" s="51">
        <v>7</v>
      </c>
      <c r="G89" s="51"/>
      <c r="H89" s="51">
        <v>7</v>
      </c>
      <c r="I89" s="51"/>
      <c r="J89" s="51"/>
      <c r="K89" s="51"/>
      <c r="L89" s="344"/>
      <c r="M89" s="345"/>
      <c r="N89" s="346"/>
    </row>
    <row r="90" spans="1:14">
      <c r="A90" s="51" t="s">
        <v>624</v>
      </c>
      <c r="B90" s="51">
        <v>18</v>
      </c>
      <c r="C90" s="51"/>
      <c r="D90" s="51">
        <v>18</v>
      </c>
      <c r="E90" s="51"/>
      <c r="F90" s="51">
        <v>18</v>
      </c>
      <c r="G90" s="51"/>
      <c r="H90" s="51">
        <v>18</v>
      </c>
      <c r="I90" s="51"/>
      <c r="J90" s="51"/>
      <c r="K90" s="51"/>
      <c r="L90" s="344"/>
      <c r="M90" s="345"/>
      <c r="N90" s="346"/>
    </row>
    <row r="91" spans="1:14">
      <c r="A91" s="51" t="s">
        <v>630</v>
      </c>
      <c r="B91" s="51">
        <v>25</v>
      </c>
      <c r="C91" s="51"/>
      <c r="D91" s="51">
        <v>25</v>
      </c>
      <c r="E91" s="51"/>
      <c r="F91" s="51">
        <v>25</v>
      </c>
      <c r="G91" s="51"/>
      <c r="H91" s="51">
        <v>25</v>
      </c>
      <c r="I91" s="51"/>
      <c r="J91" s="51"/>
      <c r="K91" s="51"/>
      <c r="L91" s="344"/>
      <c r="M91" s="345"/>
      <c r="N91" s="346"/>
    </row>
    <row r="92" spans="1:14">
      <c r="A92" s="51" t="s">
        <v>731</v>
      </c>
      <c r="B92" s="51">
        <v>64</v>
      </c>
      <c r="C92" s="51"/>
      <c r="D92" s="51">
        <v>64</v>
      </c>
      <c r="E92" s="51"/>
      <c r="F92" s="51"/>
      <c r="G92" s="51"/>
      <c r="H92" s="51"/>
      <c r="I92" s="51"/>
      <c r="J92" s="51"/>
      <c r="K92" s="51"/>
      <c r="L92" s="344"/>
      <c r="M92" s="345"/>
      <c r="N92" s="346"/>
    </row>
    <row r="93" spans="1:14">
      <c r="A93" s="51" t="s">
        <v>732</v>
      </c>
      <c r="B93" s="51">
        <v>22</v>
      </c>
      <c r="C93" s="51"/>
      <c r="D93" s="51">
        <v>22</v>
      </c>
      <c r="E93" s="51"/>
      <c r="F93" s="51"/>
      <c r="G93" s="51"/>
      <c r="H93" s="51"/>
      <c r="I93" s="51"/>
      <c r="J93" s="51"/>
      <c r="K93" s="51"/>
      <c r="L93" s="344"/>
      <c r="M93" s="345"/>
      <c r="N93" s="346"/>
    </row>
    <row r="94" spans="1:14">
      <c r="A94" s="51" t="s">
        <v>289</v>
      </c>
      <c r="B94" s="51">
        <f>SUM(B83:B93)</f>
        <v>249</v>
      </c>
      <c r="C94" s="51">
        <f t="shared" ref="C94:K94" si="0">SUM(C83:C93)</f>
        <v>0</v>
      </c>
      <c r="D94" s="51">
        <f t="shared" si="0"/>
        <v>247</v>
      </c>
      <c r="E94" s="51">
        <f t="shared" si="0"/>
        <v>0</v>
      </c>
      <c r="F94" s="51">
        <f t="shared" si="0"/>
        <v>163</v>
      </c>
      <c r="G94" s="51">
        <f t="shared" si="0"/>
        <v>0</v>
      </c>
      <c r="H94" s="51">
        <f t="shared" si="0"/>
        <v>163</v>
      </c>
      <c r="I94" s="51">
        <f t="shared" si="0"/>
        <v>0</v>
      </c>
      <c r="J94" s="51">
        <f t="shared" si="0"/>
        <v>82</v>
      </c>
      <c r="K94" s="51">
        <f t="shared" si="0"/>
        <v>0</v>
      </c>
      <c r="L94" s="344"/>
      <c r="M94" s="345"/>
      <c r="N94" s="346"/>
    </row>
    <row r="95" spans="1:14" ht="20.25">
      <c r="A95" s="321" t="s">
        <v>828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</row>
    <row r="96" spans="1:14">
      <c r="A96" s="336" t="s">
        <v>655</v>
      </c>
      <c r="B96" s="338" t="s">
        <v>102</v>
      </c>
      <c r="C96" s="339"/>
      <c r="D96" s="339"/>
      <c r="E96" s="340"/>
      <c r="F96" s="338" t="s">
        <v>105</v>
      </c>
      <c r="G96" s="340"/>
      <c r="H96" s="338" t="s">
        <v>713</v>
      </c>
      <c r="I96" s="340"/>
      <c r="J96" s="338" t="s">
        <v>797</v>
      </c>
      <c r="K96" s="340"/>
      <c r="L96" s="327" t="s">
        <v>101</v>
      </c>
      <c r="M96" s="328"/>
      <c r="N96" s="329"/>
    </row>
    <row r="97" spans="1:14">
      <c r="A97" s="337"/>
      <c r="B97" s="88" t="s">
        <v>811</v>
      </c>
      <c r="C97" s="88" t="s">
        <v>812</v>
      </c>
      <c r="D97" s="88" t="s">
        <v>813</v>
      </c>
      <c r="E97" s="88" t="s">
        <v>814</v>
      </c>
      <c r="F97" s="88" t="s">
        <v>820</v>
      </c>
      <c r="G97" s="88" t="s">
        <v>821</v>
      </c>
      <c r="H97" s="88" t="s">
        <v>817</v>
      </c>
      <c r="I97" s="88" t="s">
        <v>818</v>
      </c>
      <c r="J97" s="88" t="s">
        <v>819</v>
      </c>
      <c r="K97" s="88" t="s">
        <v>807</v>
      </c>
      <c r="L97" s="330"/>
      <c r="M97" s="331"/>
      <c r="N97" s="332"/>
    </row>
    <row r="98" spans="1:14">
      <c r="A98" s="51" t="s">
        <v>493</v>
      </c>
      <c r="B98" s="51">
        <v>57</v>
      </c>
      <c r="C98" s="51"/>
      <c r="D98" s="51">
        <v>57</v>
      </c>
      <c r="E98" s="51"/>
      <c r="F98" s="51"/>
      <c r="G98" s="51"/>
      <c r="H98" s="51"/>
      <c r="I98" s="51"/>
      <c r="J98" s="51"/>
      <c r="K98" s="51"/>
      <c r="L98" s="333"/>
      <c r="M98" s="334"/>
      <c r="N98" s="335"/>
    </row>
    <row r="99" spans="1:14">
      <c r="A99" s="51" t="s">
        <v>625</v>
      </c>
      <c r="B99" s="51">
        <v>0</v>
      </c>
      <c r="C99" s="51"/>
      <c r="D99" s="51">
        <v>0</v>
      </c>
      <c r="E99" s="51"/>
      <c r="F99" s="51"/>
      <c r="G99" s="51"/>
      <c r="H99" s="51"/>
      <c r="I99" s="51"/>
      <c r="J99" s="51"/>
      <c r="K99" s="51"/>
      <c r="L99" s="333"/>
      <c r="M99" s="334"/>
      <c r="N99" s="335"/>
    </row>
    <row r="100" spans="1:14">
      <c r="A100" s="51" t="s">
        <v>585</v>
      </c>
      <c r="B100" s="51">
        <v>38</v>
      </c>
      <c r="C100" s="51"/>
      <c r="D100" s="51">
        <v>32</v>
      </c>
      <c r="E100" s="51"/>
      <c r="F100" s="51"/>
      <c r="G100" s="51"/>
      <c r="H100" s="51"/>
      <c r="I100" s="51"/>
      <c r="J100" s="51"/>
      <c r="K100" s="51"/>
      <c r="L100" s="333"/>
      <c r="M100" s="334"/>
      <c r="N100" s="335"/>
    </row>
    <row r="101" spans="1:14">
      <c r="A101" s="51" t="s">
        <v>627</v>
      </c>
      <c r="B101" s="51">
        <v>29</v>
      </c>
      <c r="C101" s="51"/>
      <c r="D101" s="51">
        <v>0</v>
      </c>
      <c r="E101" s="51"/>
      <c r="F101" s="51"/>
      <c r="G101" s="51"/>
      <c r="H101" s="51"/>
      <c r="I101" s="51"/>
      <c r="J101" s="51"/>
      <c r="K101" s="51"/>
      <c r="L101" s="333"/>
      <c r="M101" s="334"/>
      <c r="N101" s="335"/>
    </row>
    <row r="102" spans="1:14">
      <c r="A102" s="100" t="s">
        <v>289</v>
      </c>
      <c r="B102" s="100">
        <v>124</v>
      </c>
    </row>
  </sheetData>
  <mergeCells count="113">
    <mergeCell ref="L98:N98"/>
    <mergeCell ref="L99:N99"/>
    <mergeCell ref="L100:N100"/>
    <mergeCell ref="L101:N101"/>
    <mergeCell ref="L89:N89"/>
    <mergeCell ref="L90:N90"/>
    <mergeCell ref="L91:N91"/>
    <mergeCell ref="L92:N92"/>
    <mergeCell ref="L93:N93"/>
    <mergeCell ref="L83:N83"/>
    <mergeCell ref="L84:N84"/>
    <mergeCell ref="L85:N85"/>
    <mergeCell ref="L86:N86"/>
    <mergeCell ref="L87:N87"/>
    <mergeCell ref="L88:N88"/>
    <mergeCell ref="L96:N97"/>
    <mergeCell ref="A95:N95"/>
    <mergeCell ref="A96:A97"/>
    <mergeCell ref="B96:E96"/>
    <mergeCell ref="F96:G96"/>
    <mergeCell ref="H96:I96"/>
    <mergeCell ref="J96:K96"/>
    <mergeCell ref="L94:N94"/>
    <mergeCell ref="A80:N80"/>
    <mergeCell ref="A81:A82"/>
    <mergeCell ref="B81:E81"/>
    <mergeCell ref="F81:G81"/>
    <mergeCell ref="H81:I81"/>
    <mergeCell ref="J81:K81"/>
    <mergeCell ref="L81:N82"/>
    <mergeCell ref="L69:N69"/>
    <mergeCell ref="L70:N70"/>
    <mergeCell ref="A67:A68"/>
    <mergeCell ref="B67:E67"/>
    <mergeCell ref="F67:G67"/>
    <mergeCell ref="H67:I67"/>
    <mergeCell ref="J67:K67"/>
    <mergeCell ref="L67:N68"/>
    <mergeCell ref="L60:N61"/>
    <mergeCell ref="A66:M66"/>
    <mergeCell ref="L62:N62"/>
    <mergeCell ref="L63:N63"/>
    <mergeCell ref="L64:N64"/>
    <mergeCell ref="L65:N65"/>
    <mergeCell ref="A59:M59"/>
    <mergeCell ref="A60:A61"/>
    <mergeCell ref="B60:E60"/>
    <mergeCell ref="F60:G60"/>
    <mergeCell ref="H60:I60"/>
    <mergeCell ref="J60:K60"/>
    <mergeCell ref="L54:N54"/>
    <mergeCell ref="L55:N55"/>
    <mergeCell ref="L56:N56"/>
    <mergeCell ref="L57:N57"/>
    <mergeCell ref="L43:N43"/>
    <mergeCell ref="L44:N44"/>
    <mergeCell ref="L45:N45"/>
    <mergeCell ref="L46:N46"/>
    <mergeCell ref="L47:N47"/>
    <mergeCell ref="L48:N48"/>
    <mergeCell ref="A51:N51"/>
    <mergeCell ref="A52:A53"/>
    <mergeCell ref="B52:E52"/>
    <mergeCell ref="F52:G52"/>
    <mergeCell ref="H52:I52"/>
    <mergeCell ref="J52:K52"/>
    <mergeCell ref="L52:N53"/>
    <mergeCell ref="L49:N49"/>
    <mergeCell ref="L50:N50"/>
    <mergeCell ref="A15:A20"/>
    <mergeCell ref="B15:B20"/>
    <mergeCell ref="A21:A22"/>
    <mergeCell ref="B21:C21"/>
    <mergeCell ref="A38:Q38"/>
    <mergeCell ref="A40:N40"/>
    <mergeCell ref="A41:A42"/>
    <mergeCell ref="B41:E41"/>
    <mergeCell ref="F41:G41"/>
    <mergeCell ref="H41:I41"/>
    <mergeCell ref="J41:K41"/>
    <mergeCell ref="L41:N42"/>
    <mergeCell ref="B22:C22"/>
    <mergeCell ref="A23:A25"/>
    <mergeCell ref="A1:O1"/>
    <mergeCell ref="A2:O2"/>
    <mergeCell ref="A3:R3"/>
    <mergeCell ref="A4:R4"/>
    <mergeCell ref="A5:B6"/>
    <mergeCell ref="D5:E5"/>
    <mergeCell ref="F5:Q5"/>
    <mergeCell ref="D6:E6"/>
    <mergeCell ref="F6:Q6"/>
    <mergeCell ref="A7:Q7"/>
    <mergeCell ref="A8:A9"/>
    <mergeCell ref="B8:C9"/>
    <mergeCell ref="D8:Q8"/>
    <mergeCell ref="R8:R9"/>
    <mergeCell ref="A10:A14"/>
    <mergeCell ref="B10:C10"/>
    <mergeCell ref="B11:C11"/>
    <mergeCell ref="B12:C12"/>
    <mergeCell ref="B13:B14"/>
    <mergeCell ref="R29:R30"/>
    <mergeCell ref="B26:C26"/>
    <mergeCell ref="A28:Q28"/>
    <mergeCell ref="A29:A31"/>
    <mergeCell ref="B29:F29"/>
    <mergeCell ref="G29:K29"/>
    <mergeCell ref="M29:M30"/>
    <mergeCell ref="N29:N30"/>
    <mergeCell ref="O29:O30"/>
    <mergeCell ref="P29:P30"/>
    <mergeCell ref="Q29:Q30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DA4D-4A05-4938-823C-4DD6E065CD0F}">
  <dimension ref="A1:R102"/>
  <sheetViews>
    <sheetView topLeftCell="A14" zoomScale="130" zoomScaleNormal="130" workbookViewId="0">
      <selection activeCell="P63" sqref="P63"/>
    </sheetView>
  </sheetViews>
  <sheetFormatPr defaultRowHeight="16.5"/>
  <sheetData>
    <row r="1" spans="1:18" ht="26.25">
      <c r="A1" s="304" t="s">
        <v>800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8" ht="20.25">
      <c r="A2" s="305" t="s">
        <v>801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146"/>
      <c r="Q2" s="146"/>
      <c r="R2" s="146"/>
    </row>
    <row r="3" spans="1:18" ht="19.5">
      <c r="A3" s="307" t="s">
        <v>802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</row>
    <row r="4" spans="1:18" ht="20.25">
      <c r="A4" s="309" t="s">
        <v>803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</row>
    <row r="5" spans="1:18" ht="19.5">
      <c r="A5" s="310"/>
      <c r="B5" s="311"/>
      <c r="C5" s="147" t="s">
        <v>804</v>
      </c>
      <c r="D5" s="312" t="s">
        <v>805</v>
      </c>
      <c r="E5" s="313"/>
      <c r="F5" s="314" t="s">
        <v>806</v>
      </c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148"/>
    </row>
    <row r="6" spans="1:18" ht="19.5">
      <c r="A6" s="311"/>
      <c r="B6" s="311"/>
      <c r="C6" s="147" t="s">
        <v>807</v>
      </c>
      <c r="D6" s="316" t="s">
        <v>808</v>
      </c>
      <c r="E6" s="317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149"/>
    </row>
    <row r="7" spans="1:18" ht="20.25">
      <c r="A7" s="285" t="s">
        <v>737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106"/>
    </row>
    <row r="8" spans="1:18">
      <c r="A8" s="286" t="s">
        <v>738</v>
      </c>
      <c r="B8" s="288" t="s">
        <v>739</v>
      </c>
      <c r="C8" s="289"/>
      <c r="D8" s="292" t="s">
        <v>740</v>
      </c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4"/>
      <c r="R8" s="295" t="s">
        <v>741</v>
      </c>
    </row>
    <row r="9" spans="1:18" ht="17.25" thickBot="1">
      <c r="A9" s="287"/>
      <c r="B9" s="290"/>
      <c r="C9" s="291"/>
      <c r="D9" s="107" t="s">
        <v>742</v>
      </c>
      <c r="E9" s="107" t="s">
        <v>743</v>
      </c>
      <c r="F9" s="107" t="s">
        <v>744</v>
      </c>
      <c r="G9" s="107" t="s">
        <v>745</v>
      </c>
      <c r="H9" s="107" t="s">
        <v>746</v>
      </c>
      <c r="I9" s="107" t="s">
        <v>747</v>
      </c>
      <c r="J9" s="107" t="s">
        <v>748</v>
      </c>
      <c r="K9" s="107" t="s">
        <v>749</v>
      </c>
      <c r="L9" s="107" t="s">
        <v>750</v>
      </c>
      <c r="M9" s="108" t="s">
        <v>751</v>
      </c>
      <c r="N9" s="109" t="s">
        <v>752</v>
      </c>
      <c r="O9" s="109" t="s">
        <v>753</v>
      </c>
      <c r="P9" s="109" t="s">
        <v>754</v>
      </c>
      <c r="Q9" s="110" t="s">
        <v>755</v>
      </c>
      <c r="R9" s="296"/>
    </row>
    <row r="10" spans="1:18" ht="17.25" thickTop="1">
      <c r="A10" s="297" t="s">
        <v>756</v>
      </c>
      <c r="B10" s="300" t="s">
        <v>757</v>
      </c>
      <c r="C10" s="301"/>
      <c r="D10" s="111"/>
      <c r="E10" s="111"/>
      <c r="F10" s="111"/>
      <c r="G10" s="111"/>
      <c r="H10" s="111"/>
      <c r="I10" s="111"/>
      <c r="J10" s="111"/>
      <c r="K10" s="111"/>
      <c r="L10" s="112"/>
      <c r="M10" s="113"/>
      <c r="N10" s="114"/>
      <c r="O10" s="114"/>
      <c r="P10" s="114"/>
      <c r="Q10" s="114"/>
      <c r="R10" s="114"/>
    </row>
    <row r="11" spans="1:18">
      <c r="A11" s="298"/>
      <c r="B11" s="276" t="s">
        <v>758</v>
      </c>
      <c r="C11" s="277"/>
      <c r="D11" s="115"/>
      <c r="E11" s="115"/>
      <c r="F11" s="115"/>
      <c r="G11" s="115"/>
      <c r="H11" s="115"/>
      <c r="I11" s="115"/>
      <c r="J11" s="115"/>
      <c r="K11" s="115"/>
      <c r="L11" s="116"/>
      <c r="M11" s="117"/>
      <c r="N11" s="118"/>
      <c r="O11" s="118"/>
      <c r="P11" s="118"/>
      <c r="Q11" s="118"/>
      <c r="R11" s="118"/>
    </row>
    <row r="12" spans="1:18">
      <c r="A12" s="298"/>
      <c r="B12" s="276" t="s">
        <v>759</v>
      </c>
      <c r="C12" s="277"/>
      <c r="D12" s="115"/>
      <c r="E12" s="115"/>
      <c r="F12" s="115"/>
      <c r="G12" s="115"/>
      <c r="H12" s="115"/>
      <c r="I12" s="115"/>
      <c r="J12" s="115"/>
      <c r="K12" s="115"/>
      <c r="L12" s="119"/>
      <c r="M12" s="117"/>
      <c r="N12" s="118"/>
      <c r="O12" s="118"/>
      <c r="P12" s="118"/>
      <c r="Q12" s="118"/>
      <c r="R12" s="118"/>
    </row>
    <row r="13" spans="1:18">
      <c r="A13" s="298"/>
      <c r="B13" s="302" t="s">
        <v>760</v>
      </c>
      <c r="C13" s="121" t="s">
        <v>761</v>
      </c>
      <c r="D13" s="122"/>
      <c r="E13" s="122"/>
      <c r="F13" s="122"/>
      <c r="G13" s="123"/>
      <c r="H13" s="115"/>
      <c r="I13" s="115"/>
      <c r="J13" s="115"/>
      <c r="K13" s="115"/>
      <c r="L13" s="116"/>
      <c r="M13" s="117"/>
      <c r="N13" s="118"/>
      <c r="O13" s="118"/>
      <c r="P13" s="118"/>
      <c r="Q13" s="118"/>
      <c r="R13" s="118"/>
    </row>
    <row r="14" spans="1:18">
      <c r="A14" s="299"/>
      <c r="B14" s="303"/>
      <c r="C14" s="121" t="s">
        <v>762</v>
      </c>
      <c r="D14" s="115"/>
      <c r="E14" s="115"/>
      <c r="F14" s="115"/>
      <c r="G14" s="115"/>
      <c r="H14" s="115"/>
      <c r="I14" s="115"/>
      <c r="J14" s="115"/>
      <c r="K14" s="115"/>
      <c r="L14" s="119"/>
      <c r="M14" s="117"/>
      <c r="N14" s="118"/>
      <c r="O14" s="118"/>
      <c r="P14" s="118"/>
      <c r="Q14" s="118"/>
      <c r="R14" s="118"/>
    </row>
    <row r="15" spans="1:18">
      <c r="A15" s="318" t="s">
        <v>763</v>
      </c>
      <c r="B15" s="302" t="s">
        <v>764</v>
      </c>
      <c r="C15" s="124" t="s">
        <v>765</v>
      </c>
      <c r="D15" s="115"/>
      <c r="E15" s="122"/>
      <c r="F15" s="115"/>
      <c r="G15" s="115"/>
      <c r="H15" s="115"/>
      <c r="I15" s="115"/>
      <c r="J15" s="115"/>
      <c r="K15" s="115"/>
      <c r="L15" s="116"/>
      <c r="M15" s="117"/>
      <c r="N15" s="118"/>
      <c r="O15" s="118"/>
      <c r="P15" s="118"/>
      <c r="Q15" s="118"/>
      <c r="R15" s="118"/>
    </row>
    <row r="16" spans="1:18">
      <c r="A16" s="298"/>
      <c r="B16" s="319"/>
      <c r="C16" s="124" t="s">
        <v>766</v>
      </c>
      <c r="D16" s="122"/>
      <c r="E16" s="122"/>
      <c r="F16" s="122"/>
      <c r="G16" s="122"/>
      <c r="H16" s="126"/>
      <c r="I16" s="115"/>
      <c r="J16" s="115"/>
      <c r="K16" s="115"/>
      <c r="L16" s="116"/>
      <c r="M16" s="117"/>
      <c r="N16" s="118"/>
      <c r="O16" s="118"/>
      <c r="P16" s="118"/>
      <c r="Q16" s="118"/>
      <c r="R16" s="118"/>
    </row>
    <row r="17" spans="1:18">
      <c r="A17" s="298"/>
      <c r="B17" s="319"/>
      <c r="C17" s="124" t="s">
        <v>767</v>
      </c>
      <c r="D17" s="122"/>
      <c r="E17" s="122"/>
      <c r="F17" s="122"/>
      <c r="G17" s="115"/>
      <c r="H17" s="115"/>
      <c r="I17" s="115"/>
      <c r="J17" s="115"/>
      <c r="K17" s="115"/>
      <c r="L17" s="116"/>
      <c r="M17" s="117"/>
      <c r="N17" s="118"/>
      <c r="O17" s="118"/>
      <c r="P17" s="118"/>
      <c r="Q17" s="118"/>
      <c r="R17" s="118"/>
    </row>
    <row r="18" spans="1:18">
      <c r="A18" s="298"/>
      <c r="B18" s="319"/>
      <c r="C18" s="124" t="s">
        <v>768</v>
      </c>
      <c r="D18" s="115"/>
      <c r="E18" s="115"/>
      <c r="F18" s="115"/>
      <c r="G18" s="122"/>
      <c r="H18" s="115"/>
      <c r="I18" s="115"/>
      <c r="J18" s="115"/>
      <c r="K18" s="115"/>
      <c r="L18" s="116"/>
      <c r="M18" s="117"/>
      <c r="N18" s="118"/>
      <c r="O18" s="118"/>
      <c r="P18" s="118"/>
      <c r="Q18" s="118"/>
      <c r="R18" s="118"/>
    </row>
    <row r="19" spans="1:18">
      <c r="A19" s="298"/>
      <c r="B19" s="319"/>
      <c r="C19" s="124" t="s">
        <v>769</v>
      </c>
      <c r="D19" s="115"/>
      <c r="E19" s="115"/>
      <c r="F19" s="115"/>
      <c r="G19" s="122"/>
      <c r="H19" s="115"/>
      <c r="I19" s="115"/>
      <c r="J19" s="115"/>
      <c r="K19" s="115"/>
      <c r="L19" s="116"/>
      <c r="M19" s="117"/>
      <c r="N19" s="118"/>
      <c r="O19" s="118"/>
      <c r="P19" s="118"/>
      <c r="Q19" s="118"/>
      <c r="R19" s="118"/>
    </row>
    <row r="20" spans="1:18">
      <c r="A20" s="299"/>
      <c r="B20" s="303"/>
      <c r="C20" s="124" t="s">
        <v>770</v>
      </c>
      <c r="D20" s="115"/>
      <c r="E20" s="126"/>
      <c r="F20" s="115"/>
      <c r="G20" s="115"/>
      <c r="H20" s="115"/>
      <c r="I20" s="115"/>
      <c r="J20" s="115"/>
      <c r="K20" s="115"/>
      <c r="L20" s="116"/>
      <c r="M20" s="117"/>
      <c r="N20" s="118"/>
      <c r="O20" s="118"/>
      <c r="P20" s="118"/>
      <c r="Q20" s="118"/>
      <c r="R20" s="118"/>
    </row>
    <row r="21" spans="1:18">
      <c r="A21" s="318" t="s">
        <v>771</v>
      </c>
      <c r="B21" s="276" t="s">
        <v>772</v>
      </c>
      <c r="C21" s="277"/>
      <c r="D21" s="122"/>
      <c r="E21" s="122"/>
      <c r="F21" s="122"/>
      <c r="G21" s="122"/>
      <c r="H21" s="115"/>
      <c r="I21" s="115"/>
      <c r="J21" s="115"/>
      <c r="K21" s="115"/>
      <c r="L21" s="127"/>
      <c r="M21" s="117"/>
      <c r="N21" s="118"/>
      <c r="O21" s="118"/>
      <c r="P21" s="118"/>
      <c r="Q21" s="118"/>
      <c r="R21" s="118"/>
    </row>
    <row r="22" spans="1:18">
      <c r="A22" s="299"/>
      <c r="B22" s="276" t="s">
        <v>773</v>
      </c>
      <c r="C22" s="277"/>
      <c r="D22" s="115"/>
      <c r="E22" s="115"/>
      <c r="F22" s="115"/>
      <c r="G22" s="122"/>
      <c r="H22" s="115"/>
      <c r="I22" s="115"/>
      <c r="J22" s="115"/>
      <c r="K22" s="115"/>
      <c r="L22" s="116"/>
      <c r="M22" s="117"/>
      <c r="N22" s="118"/>
      <c r="O22" s="118"/>
      <c r="P22" s="118"/>
      <c r="Q22" s="118"/>
      <c r="R22" s="118"/>
    </row>
    <row r="23" spans="1:18">
      <c r="A23" s="318" t="s">
        <v>774</v>
      </c>
      <c r="B23" s="120" t="s">
        <v>775</v>
      </c>
      <c r="C23" s="128" t="s">
        <v>776</v>
      </c>
      <c r="D23" s="115"/>
      <c r="E23" s="122"/>
      <c r="F23" s="115"/>
      <c r="G23" s="122"/>
      <c r="H23" s="115"/>
      <c r="I23" s="115"/>
      <c r="J23" s="115"/>
      <c r="K23" s="115"/>
      <c r="L23" s="116"/>
      <c r="M23" s="117"/>
      <c r="N23" s="118"/>
      <c r="O23" s="118"/>
      <c r="P23" s="118"/>
      <c r="Q23" s="118"/>
      <c r="R23" s="118"/>
    </row>
    <row r="24" spans="1:18">
      <c r="A24" s="298"/>
      <c r="B24" s="125" t="s">
        <v>777</v>
      </c>
      <c r="C24" s="128" t="s">
        <v>778</v>
      </c>
      <c r="D24" s="115"/>
      <c r="E24" s="115"/>
      <c r="F24" s="115"/>
      <c r="G24" s="115"/>
      <c r="H24" s="122"/>
      <c r="I24" s="115"/>
      <c r="J24" s="115"/>
      <c r="K24" s="115"/>
      <c r="L24" s="116"/>
      <c r="M24" s="117"/>
      <c r="N24" s="118"/>
      <c r="O24" s="118"/>
      <c r="P24" s="118"/>
      <c r="Q24" s="118"/>
      <c r="R24" s="118"/>
    </row>
    <row r="25" spans="1:18">
      <c r="A25" s="299"/>
      <c r="B25" s="129"/>
      <c r="C25" s="128" t="s">
        <v>779</v>
      </c>
      <c r="D25" s="115"/>
      <c r="E25" s="115"/>
      <c r="F25" s="115"/>
      <c r="G25" s="115"/>
      <c r="H25" s="115"/>
      <c r="I25" s="115"/>
      <c r="J25" s="122"/>
      <c r="K25" s="115"/>
      <c r="L25" s="116"/>
      <c r="M25" s="117"/>
      <c r="N25" s="118"/>
      <c r="O25" s="118"/>
      <c r="P25" s="118"/>
      <c r="Q25" s="118"/>
      <c r="R25" s="118"/>
    </row>
    <row r="26" spans="1:18">
      <c r="A26" s="130" t="s">
        <v>780</v>
      </c>
      <c r="B26" s="276" t="s">
        <v>781</v>
      </c>
      <c r="C26" s="277"/>
      <c r="D26" s="115"/>
      <c r="E26" s="115"/>
      <c r="F26" s="115"/>
      <c r="G26" s="115"/>
      <c r="H26" s="115"/>
      <c r="I26" s="131"/>
      <c r="J26" s="115"/>
      <c r="K26" s="122"/>
      <c r="L26" s="116"/>
      <c r="M26" s="117"/>
      <c r="N26" s="118"/>
      <c r="O26" s="118"/>
      <c r="P26" s="118"/>
      <c r="Q26" s="118"/>
      <c r="R26" s="118"/>
    </row>
    <row r="27" spans="1:18" ht="54">
      <c r="A27" s="132"/>
      <c r="B27" s="133"/>
      <c r="C27" s="133"/>
      <c r="D27" s="134" t="s">
        <v>782</v>
      </c>
      <c r="E27" s="134" t="s">
        <v>831</v>
      </c>
      <c r="F27" s="134"/>
      <c r="G27" s="134"/>
      <c r="H27" s="134" t="s">
        <v>830</v>
      </c>
      <c r="I27" s="134"/>
      <c r="J27" s="134"/>
      <c r="K27" s="135"/>
      <c r="L27" s="136"/>
    </row>
    <row r="28" spans="1:18" ht="20.25">
      <c r="A28" s="278" t="s">
        <v>784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</row>
    <row r="29" spans="1:18" ht="17.25">
      <c r="A29" s="279" t="s">
        <v>785</v>
      </c>
      <c r="B29" s="282" t="s">
        <v>786</v>
      </c>
      <c r="C29" s="283"/>
      <c r="D29" s="283"/>
      <c r="E29" s="283"/>
      <c r="F29" s="284"/>
      <c r="G29" s="282" t="s">
        <v>787</v>
      </c>
      <c r="H29" s="283"/>
      <c r="I29" s="283"/>
      <c r="J29" s="283"/>
      <c r="K29" s="284"/>
      <c r="L29" s="137"/>
      <c r="M29" s="274" t="s">
        <v>788</v>
      </c>
      <c r="N29" s="274" t="s">
        <v>789</v>
      </c>
      <c r="O29" s="274" t="s">
        <v>790</v>
      </c>
      <c r="P29" s="274" t="s">
        <v>791</v>
      </c>
      <c r="Q29" s="274" t="s">
        <v>792</v>
      </c>
      <c r="R29" s="274" t="s">
        <v>101</v>
      </c>
    </row>
    <row r="30" spans="1:18" ht="17.25">
      <c r="A30" s="280"/>
      <c r="B30" s="138" t="s">
        <v>713</v>
      </c>
      <c r="C30" s="138" t="s">
        <v>793</v>
      </c>
      <c r="D30" s="138" t="s">
        <v>794</v>
      </c>
      <c r="E30" s="138" t="s">
        <v>795</v>
      </c>
      <c r="F30" s="138" t="s">
        <v>768</v>
      </c>
      <c r="G30" s="138" t="s">
        <v>713</v>
      </c>
      <c r="H30" s="138" t="s">
        <v>796</v>
      </c>
      <c r="I30" s="138" t="s">
        <v>797</v>
      </c>
      <c r="J30" s="138" t="s">
        <v>795</v>
      </c>
      <c r="K30" s="138" t="s">
        <v>768</v>
      </c>
      <c r="L30" s="139"/>
      <c r="M30" s="275"/>
      <c r="N30" s="275"/>
      <c r="O30" s="275"/>
      <c r="P30" s="275"/>
      <c r="Q30" s="275"/>
      <c r="R30" s="275"/>
    </row>
    <row r="31" spans="1:18" ht="17.25">
      <c r="A31" s="281"/>
      <c r="B31" s="140">
        <v>22</v>
      </c>
      <c r="C31" s="140">
        <v>49</v>
      </c>
      <c r="D31" s="140"/>
      <c r="E31" s="141"/>
      <c r="F31" s="141"/>
      <c r="G31" s="141"/>
      <c r="H31" s="142"/>
      <c r="I31" s="140"/>
      <c r="J31" s="141"/>
      <c r="K31" s="141"/>
      <c r="L31" s="140"/>
      <c r="M31" s="140"/>
      <c r="N31" s="141"/>
      <c r="O31" s="141"/>
      <c r="P31" s="141"/>
      <c r="Q31" s="141"/>
      <c r="R31" s="51"/>
    </row>
    <row r="32" spans="1:18" ht="33">
      <c r="A32" s="143" t="s">
        <v>721</v>
      </c>
      <c r="B32" s="141" t="s">
        <v>798</v>
      </c>
      <c r="C32" s="141" t="s">
        <v>799</v>
      </c>
      <c r="D32" s="141"/>
      <c r="E32" s="141"/>
      <c r="F32" s="141"/>
      <c r="G32" s="141"/>
      <c r="H32" s="144"/>
      <c r="I32" s="141"/>
      <c r="J32" s="141"/>
      <c r="K32" s="141"/>
      <c r="L32" s="140"/>
      <c r="M32" s="145"/>
      <c r="N32" s="141"/>
      <c r="O32" s="141"/>
      <c r="P32" s="141"/>
      <c r="Q32" s="141"/>
      <c r="R32" s="51"/>
    </row>
    <row r="33" spans="1:17" ht="20.25">
      <c r="A33" s="150"/>
      <c r="B33" s="151"/>
      <c r="C33" s="151"/>
      <c r="D33" s="151"/>
      <c r="E33" s="151"/>
      <c r="F33" s="151"/>
      <c r="G33" s="151"/>
      <c r="H33" s="152"/>
      <c r="I33" s="151"/>
      <c r="J33" s="151"/>
      <c r="K33" s="151"/>
      <c r="L33" s="153"/>
      <c r="M33" s="136"/>
      <c r="N33" s="151"/>
      <c r="O33" s="151"/>
      <c r="P33" s="151"/>
      <c r="Q33" s="151"/>
    </row>
    <row r="34" spans="1:17" ht="20.25">
      <c r="A34" s="150"/>
      <c r="B34" s="151"/>
      <c r="C34" s="151"/>
      <c r="D34" s="151"/>
      <c r="E34" s="151"/>
      <c r="F34" s="151"/>
      <c r="G34" s="151"/>
      <c r="H34" s="152"/>
      <c r="I34" s="151"/>
      <c r="J34" s="151"/>
      <c r="K34" s="151"/>
      <c r="L34" s="153"/>
      <c r="M34" s="136"/>
      <c r="N34" s="151"/>
      <c r="O34" s="151"/>
      <c r="P34" s="151"/>
      <c r="Q34" s="151"/>
    </row>
    <row r="35" spans="1:17" ht="20.25">
      <c r="A35" s="150"/>
      <c r="B35" s="151"/>
      <c r="C35" s="151"/>
      <c r="D35" s="151"/>
      <c r="E35" s="151"/>
      <c r="F35" s="151"/>
      <c r="G35" s="151"/>
      <c r="H35" s="152"/>
      <c r="I35" s="151"/>
      <c r="J35" s="151"/>
      <c r="K35" s="151"/>
      <c r="L35" s="153"/>
      <c r="M35" s="136"/>
      <c r="N35" s="151"/>
      <c r="O35" s="151"/>
      <c r="P35" s="151"/>
      <c r="Q35" s="151"/>
    </row>
    <row r="36" spans="1:17" ht="20.25">
      <c r="A36" s="150"/>
      <c r="B36" s="151"/>
      <c r="C36" s="151"/>
      <c r="D36" s="151"/>
      <c r="E36" s="151"/>
      <c r="F36" s="151"/>
      <c r="G36" s="151"/>
      <c r="H36" s="152"/>
      <c r="I36" s="151"/>
      <c r="J36" s="151"/>
      <c r="K36" s="151"/>
      <c r="L36" s="153"/>
      <c r="M36" s="136"/>
      <c r="N36" s="151"/>
      <c r="O36" s="151"/>
      <c r="P36" s="151"/>
      <c r="Q36" s="151"/>
    </row>
    <row r="38" spans="1:17" ht="20.25">
      <c r="A38" s="320" t="s">
        <v>809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</row>
    <row r="40" spans="1:17" ht="20.25">
      <c r="A40" s="321" t="s">
        <v>810</v>
      </c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</row>
    <row r="41" spans="1:17">
      <c r="A41" s="322" t="s">
        <v>730</v>
      </c>
      <c r="B41" s="324" t="s">
        <v>102</v>
      </c>
      <c r="C41" s="325"/>
      <c r="D41" s="325"/>
      <c r="E41" s="326"/>
      <c r="F41" s="324" t="s">
        <v>105</v>
      </c>
      <c r="G41" s="326"/>
      <c r="H41" s="324" t="s">
        <v>713</v>
      </c>
      <c r="I41" s="326"/>
      <c r="J41" s="324" t="s">
        <v>797</v>
      </c>
      <c r="K41" s="326"/>
      <c r="L41" s="327" t="s">
        <v>101</v>
      </c>
      <c r="M41" s="328"/>
      <c r="N41" s="329"/>
    </row>
    <row r="42" spans="1:17">
      <c r="A42" s="323"/>
      <c r="B42" s="88" t="s">
        <v>811</v>
      </c>
      <c r="C42" s="88" t="s">
        <v>812</v>
      </c>
      <c r="D42" s="88" t="s">
        <v>813</v>
      </c>
      <c r="E42" s="88" t="s">
        <v>814</v>
      </c>
      <c r="F42" s="88" t="s">
        <v>815</v>
      </c>
      <c r="G42" s="88" t="s">
        <v>816</v>
      </c>
      <c r="H42" s="88" t="s">
        <v>817</v>
      </c>
      <c r="I42" s="88" t="s">
        <v>818</v>
      </c>
      <c r="J42" s="88" t="s">
        <v>819</v>
      </c>
      <c r="K42" s="88" t="s">
        <v>807</v>
      </c>
      <c r="L42" s="330"/>
      <c r="M42" s="331"/>
      <c r="N42" s="332"/>
    </row>
    <row r="43" spans="1:17">
      <c r="A43" s="51" t="s">
        <v>539</v>
      </c>
      <c r="B43" s="51">
        <v>131</v>
      </c>
      <c r="C43" s="51"/>
      <c r="D43" s="51"/>
      <c r="E43" s="51"/>
      <c r="F43" s="51"/>
      <c r="G43" s="51"/>
      <c r="H43" s="51"/>
      <c r="I43" s="51"/>
      <c r="J43" s="51"/>
      <c r="K43" s="51"/>
      <c r="L43" s="333"/>
      <c r="M43" s="334"/>
      <c r="N43" s="335"/>
    </row>
    <row r="44" spans="1:17">
      <c r="A44" s="51" t="s">
        <v>618</v>
      </c>
      <c r="B44" s="51">
        <v>25</v>
      </c>
      <c r="C44" s="51"/>
      <c r="D44" s="51"/>
      <c r="E44" s="51"/>
      <c r="F44" s="51"/>
      <c r="G44" s="51"/>
      <c r="H44" s="51"/>
      <c r="I44" s="51"/>
      <c r="J44" s="51"/>
      <c r="K44" s="51"/>
      <c r="L44" s="333"/>
      <c r="M44" s="334"/>
      <c r="N44" s="335"/>
    </row>
    <row r="45" spans="1:17">
      <c r="A45" s="51" t="s">
        <v>620</v>
      </c>
      <c r="B45" s="51">
        <v>22</v>
      </c>
      <c r="C45" s="51"/>
      <c r="D45" s="51"/>
      <c r="E45" s="51"/>
      <c r="F45" s="51"/>
      <c r="G45" s="51"/>
      <c r="H45" s="51"/>
      <c r="I45" s="51"/>
      <c r="J45" s="51"/>
      <c r="K45" s="51"/>
      <c r="L45" s="333"/>
      <c r="M45" s="334"/>
      <c r="N45" s="335"/>
    </row>
    <row r="46" spans="1:17">
      <c r="A46" s="51" t="s">
        <v>621</v>
      </c>
      <c r="B46" s="51">
        <v>53</v>
      </c>
      <c r="C46" s="51"/>
      <c r="D46" s="51"/>
      <c r="E46" s="51"/>
      <c r="F46" s="51"/>
      <c r="G46" s="51"/>
      <c r="H46" s="51"/>
      <c r="I46" s="51"/>
      <c r="J46" s="51"/>
      <c r="K46" s="51"/>
      <c r="L46" s="333"/>
      <c r="M46" s="334"/>
      <c r="N46" s="335"/>
    </row>
    <row r="47" spans="1:17">
      <c r="A47" s="51" t="s">
        <v>622</v>
      </c>
      <c r="B47" s="51">
        <v>11</v>
      </c>
      <c r="C47" s="51"/>
      <c r="D47" s="51"/>
      <c r="E47" s="51"/>
      <c r="F47" s="51"/>
      <c r="G47" s="51"/>
      <c r="H47" s="51"/>
      <c r="I47" s="51"/>
      <c r="J47" s="51"/>
      <c r="K47" s="51"/>
      <c r="L47" s="333"/>
      <c r="M47" s="334"/>
      <c r="N47" s="335"/>
    </row>
    <row r="48" spans="1:17">
      <c r="A48" s="51" t="s">
        <v>623</v>
      </c>
      <c r="B48" s="51">
        <v>2</v>
      </c>
      <c r="C48" s="51"/>
      <c r="D48" s="51"/>
      <c r="E48" s="51"/>
      <c r="F48" s="51"/>
      <c r="G48" s="51"/>
      <c r="H48" s="51"/>
      <c r="I48" s="51"/>
      <c r="J48" s="51"/>
      <c r="K48" s="51"/>
      <c r="L48" s="333"/>
      <c r="M48" s="334"/>
      <c r="N48" s="335"/>
    </row>
    <row r="49" spans="1:14">
      <c r="A49" s="51" t="s">
        <v>624</v>
      </c>
      <c r="B49" s="51">
        <v>21</v>
      </c>
      <c r="C49" s="51"/>
      <c r="D49" s="51"/>
      <c r="E49" s="51"/>
      <c r="F49" s="51"/>
      <c r="G49" s="51"/>
      <c r="H49" s="51"/>
      <c r="I49" s="51"/>
      <c r="J49" s="51"/>
      <c r="K49" s="51"/>
      <c r="L49" s="333"/>
      <c r="M49" s="334"/>
      <c r="N49" s="335"/>
    </row>
    <row r="50" spans="1:14">
      <c r="A50" s="51" t="s">
        <v>289</v>
      </c>
      <c r="B50" s="51">
        <f>SUM(B43:B49)</f>
        <v>265</v>
      </c>
      <c r="C50" s="51"/>
      <c r="D50" s="51"/>
      <c r="E50" s="51"/>
      <c r="F50" s="51"/>
      <c r="G50" s="51"/>
      <c r="H50" s="51"/>
      <c r="I50" s="51"/>
      <c r="J50" s="51"/>
      <c r="K50" s="51"/>
      <c r="L50" s="333"/>
      <c r="M50" s="334"/>
      <c r="N50" s="335"/>
    </row>
    <row r="51" spans="1:14" ht="20.25">
      <c r="A51" s="321" t="s">
        <v>691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</row>
    <row r="52" spans="1:14">
      <c r="A52" s="336" t="s">
        <v>655</v>
      </c>
      <c r="B52" s="338" t="s">
        <v>102</v>
      </c>
      <c r="C52" s="339"/>
      <c r="D52" s="339"/>
      <c r="E52" s="340"/>
      <c r="F52" s="338" t="s">
        <v>105</v>
      </c>
      <c r="G52" s="340"/>
      <c r="H52" s="338" t="s">
        <v>713</v>
      </c>
      <c r="I52" s="340"/>
      <c r="J52" s="338" t="s">
        <v>797</v>
      </c>
      <c r="K52" s="340"/>
      <c r="L52" s="327" t="s">
        <v>101</v>
      </c>
      <c r="M52" s="328"/>
      <c r="N52" s="329"/>
    </row>
    <row r="53" spans="1:14">
      <c r="A53" s="337"/>
      <c r="B53" s="88" t="s">
        <v>811</v>
      </c>
      <c r="C53" s="88" t="s">
        <v>812</v>
      </c>
      <c r="D53" s="88" t="s">
        <v>813</v>
      </c>
      <c r="E53" s="88" t="s">
        <v>814</v>
      </c>
      <c r="F53" s="88" t="s">
        <v>820</v>
      </c>
      <c r="G53" s="88" t="s">
        <v>821</v>
      </c>
      <c r="H53" s="88" t="s">
        <v>817</v>
      </c>
      <c r="I53" s="88" t="s">
        <v>818</v>
      </c>
      <c r="J53" s="88" t="s">
        <v>819</v>
      </c>
      <c r="K53" s="88" t="s">
        <v>807</v>
      </c>
      <c r="L53" s="330"/>
      <c r="M53" s="331"/>
      <c r="N53" s="332"/>
    </row>
    <row r="54" spans="1:14">
      <c r="A54" s="51" t="s">
        <v>493</v>
      </c>
      <c r="B54" s="51">
        <v>47</v>
      </c>
      <c r="C54" s="51"/>
      <c r="D54" s="51">
        <v>47</v>
      </c>
      <c r="E54" s="51"/>
      <c r="F54" s="51"/>
      <c r="G54" s="51"/>
      <c r="H54" s="51"/>
      <c r="I54" s="51"/>
      <c r="J54" s="51"/>
      <c r="K54" s="51"/>
      <c r="L54" s="333"/>
      <c r="M54" s="334"/>
      <c r="N54" s="335"/>
    </row>
    <row r="55" spans="1:14">
      <c r="A55" s="51" t="s">
        <v>625</v>
      </c>
      <c r="B55" s="51">
        <v>19</v>
      </c>
      <c r="C55" s="51"/>
      <c r="D55" s="51">
        <v>19</v>
      </c>
      <c r="E55" s="51"/>
      <c r="F55" s="51"/>
      <c r="G55" s="51"/>
      <c r="H55" s="51"/>
      <c r="I55" s="51"/>
      <c r="J55" s="51"/>
      <c r="K55" s="51"/>
      <c r="L55" s="333"/>
      <c r="M55" s="334"/>
      <c r="N55" s="335"/>
    </row>
    <row r="56" spans="1:14">
      <c r="A56" s="51" t="s">
        <v>585</v>
      </c>
      <c r="B56" s="51">
        <v>8</v>
      </c>
      <c r="C56" s="51"/>
      <c r="D56" s="51">
        <v>8</v>
      </c>
      <c r="E56" s="51"/>
      <c r="F56" s="51"/>
      <c r="G56" s="51"/>
      <c r="H56" s="51"/>
      <c r="I56" s="51"/>
      <c r="J56" s="51"/>
      <c r="K56" s="51"/>
      <c r="L56" s="333"/>
      <c r="M56" s="334"/>
      <c r="N56" s="335"/>
    </row>
    <row r="57" spans="1:14">
      <c r="A57" s="51" t="s">
        <v>627</v>
      </c>
      <c r="B57" s="51">
        <v>8</v>
      </c>
      <c r="C57" s="51"/>
      <c r="D57" s="51">
        <v>8</v>
      </c>
      <c r="E57" s="51"/>
      <c r="F57" s="51"/>
      <c r="G57" s="51"/>
      <c r="H57" s="51"/>
      <c r="I57" s="51"/>
      <c r="J57" s="51"/>
      <c r="K57" s="51"/>
      <c r="L57" s="333"/>
      <c r="M57" s="334"/>
      <c r="N57" s="335"/>
    </row>
    <row r="58" spans="1:14">
      <c r="A58" s="100" t="s">
        <v>289</v>
      </c>
      <c r="B58">
        <f>SUM(B54:B57)</f>
        <v>82</v>
      </c>
      <c r="L58" s="62"/>
    </row>
    <row r="59" spans="1:14" ht="20.25">
      <c r="A59" s="321" t="s">
        <v>822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</row>
    <row r="60" spans="1:14">
      <c r="A60" s="336" t="s">
        <v>655</v>
      </c>
      <c r="B60" s="338" t="s">
        <v>102</v>
      </c>
      <c r="C60" s="339"/>
      <c r="D60" s="339"/>
      <c r="E60" s="340"/>
      <c r="F60" s="338" t="s">
        <v>105</v>
      </c>
      <c r="G60" s="340"/>
      <c r="H60" s="338" t="s">
        <v>713</v>
      </c>
      <c r="I60" s="340"/>
      <c r="J60" s="338" t="s">
        <v>797</v>
      </c>
      <c r="K60" s="340"/>
      <c r="L60" s="327" t="s">
        <v>101</v>
      </c>
      <c r="M60" s="328"/>
      <c r="N60" s="329"/>
    </row>
    <row r="61" spans="1:14">
      <c r="A61" s="337"/>
      <c r="B61" s="88" t="s">
        <v>811</v>
      </c>
      <c r="C61" s="88" t="s">
        <v>812</v>
      </c>
      <c r="D61" s="88" t="s">
        <v>813</v>
      </c>
      <c r="E61" s="88" t="s">
        <v>814</v>
      </c>
      <c r="F61" s="88" t="s">
        <v>820</v>
      </c>
      <c r="G61" s="88" t="s">
        <v>821</v>
      </c>
      <c r="H61" s="88" t="s">
        <v>817</v>
      </c>
      <c r="I61" s="88" t="s">
        <v>818</v>
      </c>
      <c r="J61" s="88" t="s">
        <v>819</v>
      </c>
      <c r="K61" s="88" t="s">
        <v>807</v>
      </c>
      <c r="L61" s="330"/>
      <c r="M61" s="331"/>
      <c r="N61" s="332"/>
    </row>
    <row r="62" spans="1:14">
      <c r="A62" s="51" t="s">
        <v>539</v>
      </c>
      <c r="B62" s="51">
        <v>14</v>
      </c>
      <c r="C62" s="51"/>
      <c r="D62" s="51">
        <v>14</v>
      </c>
      <c r="E62" s="51"/>
      <c r="F62" s="51"/>
      <c r="G62" s="51"/>
      <c r="H62" s="51"/>
      <c r="I62" s="51"/>
      <c r="J62" s="51"/>
      <c r="K62" s="51"/>
      <c r="L62" s="341"/>
      <c r="M62" s="342"/>
      <c r="N62" s="343"/>
    </row>
    <row r="63" spans="1:14">
      <c r="A63" s="51" t="s">
        <v>618</v>
      </c>
      <c r="B63" s="51">
        <v>5</v>
      </c>
      <c r="C63" s="51"/>
      <c r="D63" s="51">
        <v>5</v>
      </c>
      <c r="E63" s="51"/>
      <c r="F63" s="51"/>
      <c r="G63" s="51"/>
      <c r="H63" s="51"/>
      <c r="I63" s="51"/>
      <c r="J63" s="51"/>
      <c r="K63" s="51"/>
      <c r="L63" s="341"/>
      <c r="M63" s="342"/>
      <c r="N63" s="343"/>
    </row>
    <row r="64" spans="1:14">
      <c r="A64" s="51" t="s">
        <v>289</v>
      </c>
      <c r="B64" s="51">
        <f>SUM(B62:B63)</f>
        <v>19</v>
      </c>
      <c r="C64" s="51"/>
      <c r="D64" s="51"/>
      <c r="E64" s="51"/>
      <c r="F64" s="51"/>
      <c r="G64" s="51"/>
      <c r="H64" s="51"/>
      <c r="I64" s="51"/>
      <c r="J64" s="51"/>
      <c r="K64" s="51"/>
      <c r="L64" s="333"/>
      <c r="M64" s="334"/>
      <c r="N64" s="335"/>
    </row>
    <row r="65" spans="1:14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333"/>
      <c r="M65" s="334"/>
      <c r="N65" s="335"/>
    </row>
    <row r="66" spans="1:14" ht="20.25">
      <c r="A66" s="321" t="s">
        <v>823</v>
      </c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</row>
    <row r="67" spans="1:14">
      <c r="A67" s="336" t="s">
        <v>655</v>
      </c>
      <c r="B67" s="338" t="s">
        <v>102</v>
      </c>
      <c r="C67" s="339"/>
      <c r="D67" s="339"/>
      <c r="E67" s="340"/>
      <c r="F67" s="338" t="s">
        <v>105</v>
      </c>
      <c r="G67" s="340"/>
      <c r="H67" s="338" t="s">
        <v>713</v>
      </c>
      <c r="I67" s="340"/>
      <c r="J67" s="338" t="s">
        <v>797</v>
      </c>
      <c r="K67" s="340"/>
      <c r="L67" s="327" t="s">
        <v>101</v>
      </c>
      <c r="M67" s="328"/>
      <c r="N67" s="329"/>
    </row>
    <row r="68" spans="1:14">
      <c r="A68" s="337"/>
      <c r="B68" s="88" t="s">
        <v>811</v>
      </c>
      <c r="C68" s="88" t="s">
        <v>812</v>
      </c>
      <c r="D68" s="88" t="s">
        <v>813</v>
      </c>
      <c r="E68" s="88" t="s">
        <v>814</v>
      </c>
      <c r="F68" s="88" t="s">
        <v>820</v>
      </c>
      <c r="G68" s="88" t="s">
        <v>821</v>
      </c>
      <c r="H68" s="88" t="s">
        <v>817</v>
      </c>
      <c r="I68" s="88" t="s">
        <v>818</v>
      </c>
      <c r="J68" s="88" t="s">
        <v>819</v>
      </c>
      <c r="K68" s="88" t="s">
        <v>807</v>
      </c>
      <c r="L68" s="330"/>
      <c r="M68" s="331"/>
      <c r="N68" s="332"/>
    </row>
    <row r="69" spans="1:14">
      <c r="A69" s="51"/>
      <c r="B69" s="51">
        <v>2</v>
      </c>
      <c r="C69" s="51"/>
      <c r="D69" s="51">
        <v>2</v>
      </c>
      <c r="E69" s="51"/>
      <c r="F69" s="51">
        <v>2</v>
      </c>
      <c r="G69" s="51"/>
      <c r="H69" s="51">
        <v>2</v>
      </c>
      <c r="I69" s="51"/>
      <c r="J69" s="51"/>
      <c r="K69" s="51"/>
      <c r="L69" s="341"/>
      <c r="M69" s="342"/>
      <c r="N69" s="343"/>
    </row>
    <row r="70" spans="1:14">
      <c r="A70" s="51" t="s">
        <v>289</v>
      </c>
      <c r="B70" s="51">
        <f>SUM(B69)</f>
        <v>2</v>
      </c>
      <c r="C70" s="51"/>
      <c r="D70" s="51"/>
      <c r="E70" s="51"/>
      <c r="F70" s="51"/>
      <c r="G70" s="51"/>
      <c r="H70" s="51"/>
      <c r="I70" s="51"/>
      <c r="J70" s="51"/>
      <c r="K70" s="51"/>
      <c r="L70" s="341"/>
      <c r="M70" s="342"/>
      <c r="N70" s="343"/>
    </row>
    <row r="71" spans="1:14">
      <c r="L71" s="154"/>
      <c r="M71" s="62"/>
      <c r="N71" s="62"/>
    </row>
    <row r="72" spans="1:14">
      <c r="L72" s="154"/>
      <c r="M72" s="62"/>
      <c r="N72" s="62"/>
    </row>
    <row r="73" spans="1:14">
      <c r="L73" s="154"/>
      <c r="M73" s="62"/>
      <c r="N73" s="62"/>
    </row>
    <row r="74" spans="1:14">
      <c r="L74" s="154"/>
      <c r="M74" s="62"/>
      <c r="N74" s="62"/>
    </row>
    <row r="75" spans="1:14">
      <c r="L75" s="154"/>
      <c r="M75" s="62"/>
      <c r="N75" s="62"/>
    </row>
    <row r="76" spans="1:14">
      <c r="L76" s="154"/>
      <c r="M76" s="62"/>
      <c r="N76" s="62"/>
    </row>
    <row r="77" spans="1:14">
      <c r="L77" s="154"/>
      <c r="M77" s="62"/>
      <c r="N77" s="62"/>
    </row>
    <row r="78" spans="1:14">
      <c r="L78" s="154"/>
      <c r="M78" s="62"/>
      <c r="N78" s="62"/>
    </row>
    <row r="79" spans="1:14">
      <c r="L79" s="154"/>
      <c r="M79" s="62"/>
      <c r="N79" s="62"/>
    </row>
    <row r="80" spans="1:14" ht="20.25">
      <c r="A80" s="321" t="s">
        <v>824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</row>
    <row r="81" spans="1:14">
      <c r="A81" s="336" t="s">
        <v>655</v>
      </c>
      <c r="B81" s="338" t="s">
        <v>102</v>
      </c>
      <c r="C81" s="339"/>
      <c r="D81" s="339"/>
      <c r="E81" s="340"/>
      <c r="F81" s="338" t="s">
        <v>105</v>
      </c>
      <c r="G81" s="340"/>
      <c r="H81" s="338" t="s">
        <v>713</v>
      </c>
      <c r="I81" s="340"/>
      <c r="J81" s="338" t="s">
        <v>797</v>
      </c>
      <c r="K81" s="340"/>
      <c r="L81" s="327" t="s">
        <v>101</v>
      </c>
      <c r="M81" s="328"/>
      <c r="N81" s="329"/>
    </row>
    <row r="82" spans="1:14">
      <c r="A82" s="337"/>
      <c r="B82" s="88" t="s">
        <v>811</v>
      </c>
      <c r="C82" s="88" t="s">
        <v>812</v>
      </c>
      <c r="D82" s="88" t="s">
        <v>813</v>
      </c>
      <c r="E82" s="88" t="s">
        <v>814</v>
      </c>
      <c r="F82" s="88" t="s">
        <v>820</v>
      </c>
      <c r="G82" s="88" t="s">
        <v>821</v>
      </c>
      <c r="H82" s="88" t="s">
        <v>817</v>
      </c>
      <c r="I82" s="88" t="s">
        <v>818</v>
      </c>
      <c r="J82" s="88" t="s">
        <v>819</v>
      </c>
      <c r="K82" s="88" t="s">
        <v>807</v>
      </c>
      <c r="L82" s="330"/>
      <c r="M82" s="331"/>
      <c r="N82" s="332"/>
    </row>
    <row r="83" spans="1:14">
      <c r="A83" s="51" t="s">
        <v>539</v>
      </c>
      <c r="B83" s="51">
        <v>1</v>
      </c>
      <c r="C83" s="51"/>
      <c r="D83" s="51" t="s">
        <v>485</v>
      </c>
      <c r="E83" s="51"/>
      <c r="F83" s="51">
        <v>1</v>
      </c>
      <c r="G83" s="51"/>
      <c r="H83" s="51">
        <v>1</v>
      </c>
      <c r="I83" s="51"/>
      <c r="J83" s="51"/>
      <c r="K83" s="51"/>
      <c r="L83" s="333"/>
      <c r="M83" s="334"/>
      <c r="N83" s="335"/>
    </row>
    <row r="84" spans="1:14">
      <c r="A84" s="51" t="s">
        <v>618</v>
      </c>
      <c r="B84" s="51">
        <v>33</v>
      </c>
      <c r="C84" s="51"/>
      <c r="D84" s="51">
        <v>32</v>
      </c>
      <c r="E84" s="51"/>
      <c r="F84" s="51">
        <v>33</v>
      </c>
      <c r="G84" s="51"/>
      <c r="H84" s="51">
        <v>33</v>
      </c>
      <c r="I84" s="51"/>
      <c r="J84" s="51">
        <v>33</v>
      </c>
      <c r="K84" s="51"/>
      <c r="L84" s="344" t="s">
        <v>825</v>
      </c>
      <c r="M84" s="345"/>
      <c r="N84" s="346"/>
    </row>
    <row r="85" spans="1:14">
      <c r="A85" s="51" t="s">
        <v>620</v>
      </c>
      <c r="B85" s="51">
        <v>39</v>
      </c>
      <c r="C85" s="51"/>
      <c r="D85" s="51">
        <v>39</v>
      </c>
      <c r="E85" s="51"/>
      <c r="F85" s="51">
        <v>39</v>
      </c>
      <c r="G85" s="51"/>
      <c r="H85" s="51">
        <v>39</v>
      </c>
      <c r="I85" s="51"/>
      <c r="J85" s="51">
        <v>39</v>
      </c>
      <c r="K85" s="51"/>
      <c r="L85" s="333" t="s">
        <v>826</v>
      </c>
      <c r="M85" s="334"/>
      <c r="N85" s="335"/>
    </row>
    <row r="86" spans="1:14">
      <c r="A86" s="51" t="s">
        <v>628</v>
      </c>
      <c r="B86" s="51">
        <v>10</v>
      </c>
      <c r="C86" s="51"/>
      <c r="D86" s="51">
        <v>10</v>
      </c>
      <c r="E86" s="51"/>
      <c r="F86" s="51">
        <v>10</v>
      </c>
      <c r="G86" s="51"/>
      <c r="H86" s="51">
        <v>10</v>
      </c>
      <c r="I86" s="51"/>
      <c r="J86" s="51"/>
      <c r="K86" s="51"/>
      <c r="L86" s="333"/>
      <c r="M86" s="334"/>
      <c r="N86" s="335"/>
    </row>
    <row r="87" spans="1:14">
      <c r="A87" s="100" t="s">
        <v>629</v>
      </c>
      <c r="B87" s="51">
        <v>20</v>
      </c>
      <c r="C87" s="51"/>
      <c r="D87" s="51">
        <v>20</v>
      </c>
      <c r="E87" s="51"/>
      <c r="F87" s="51">
        <v>20</v>
      </c>
      <c r="G87" s="51"/>
      <c r="H87" s="51">
        <v>20</v>
      </c>
      <c r="I87" s="51"/>
      <c r="J87" s="51">
        <v>10</v>
      </c>
      <c r="K87" s="51"/>
      <c r="L87" s="333" t="s">
        <v>827</v>
      </c>
      <c r="M87" s="334"/>
      <c r="N87" s="335"/>
    </row>
    <row r="88" spans="1:14">
      <c r="A88" s="51" t="s">
        <v>622</v>
      </c>
      <c r="B88" s="51">
        <v>10</v>
      </c>
      <c r="C88" s="51"/>
      <c r="D88" s="51">
        <v>10</v>
      </c>
      <c r="E88" s="51"/>
      <c r="F88" s="51">
        <v>10</v>
      </c>
      <c r="G88" s="51"/>
      <c r="H88" s="51">
        <v>10</v>
      </c>
      <c r="I88" s="51"/>
      <c r="J88" s="51"/>
      <c r="K88" s="51"/>
      <c r="L88" s="333"/>
      <c r="M88" s="334"/>
      <c r="N88" s="335"/>
    </row>
    <row r="89" spans="1:14">
      <c r="A89" s="51" t="s">
        <v>623</v>
      </c>
      <c r="B89" s="51">
        <v>7</v>
      </c>
      <c r="C89" s="51"/>
      <c r="D89" s="51">
        <v>7</v>
      </c>
      <c r="E89" s="51"/>
      <c r="F89" s="51">
        <v>7</v>
      </c>
      <c r="G89" s="51"/>
      <c r="H89" s="51">
        <v>7</v>
      </c>
      <c r="I89" s="51"/>
      <c r="J89" s="51"/>
      <c r="K89" s="51"/>
      <c r="L89" s="344"/>
      <c r="M89" s="345"/>
      <c r="N89" s="346"/>
    </row>
    <row r="90" spans="1:14">
      <c r="A90" s="51" t="s">
        <v>624</v>
      </c>
      <c r="B90" s="51">
        <v>18</v>
      </c>
      <c r="C90" s="51"/>
      <c r="D90" s="51">
        <v>18</v>
      </c>
      <c r="E90" s="51"/>
      <c r="F90" s="51">
        <v>18</v>
      </c>
      <c r="G90" s="51"/>
      <c r="H90" s="51">
        <v>18</v>
      </c>
      <c r="I90" s="51"/>
      <c r="J90" s="51"/>
      <c r="K90" s="51"/>
      <c r="L90" s="344"/>
      <c r="M90" s="345"/>
      <c r="N90" s="346"/>
    </row>
    <row r="91" spans="1:14">
      <c r="A91" s="51" t="s">
        <v>630</v>
      </c>
      <c r="B91" s="51">
        <v>25</v>
      </c>
      <c r="C91" s="51"/>
      <c r="D91" s="51">
        <v>25</v>
      </c>
      <c r="E91" s="51"/>
      <c r="F91" s="51">
        <v>25</v>
      </c>
      <c r="G91" s="51"/>
      <c r="H91" s="51">
        <v>25</v>
      </c>
      <c r="I91" s="51"/>
      <c r="J91" s="51"/>
      <c r="K91" s="51"/>
      <c r="L91" s="344"/>
      <c r="M91" s="345"/>
      <c r="N91" s="346"/>
    </row>
    <row r="92" spans="1:14">
      <c r="A92" s="51" t="s">
        <v>731</v>
      </c>
      <c r="B92" s="51">
        <v>64</v>
      </c>
      <c r="C92" s="51"/>
      <c r="D92" s="51">
        <v>64</v>
      </c>
      <c r="E92" s="51"/>
      <c r="F92" s="51"/>
      <c r="G92" s="51"/>
      <c r="H92" s="51"/>
      <c r="I92" s="51"/>
      <c r="J92" s="51"/>
      <c r="K92" s="51"/>
      <c r="L92" s="344"/>
      <c r="M92" s="345"/>
      <c r="N92" s="346"/>
    </row>
    <row r="93" spans="1:14">
      <c r="A93" s="51" t="s">
        <v>732</v>
      </c>
      <c r="B93" s="51">
        <v>22</v>
      </c>
      <c r="C93" s="51"/>
      <c r="D93" s="51">
        <v>22</v>
      </c>
      <c r="E93" s="51"/>
      <c r="F93" s="51"/>
      <c r="G93" s="51"/>
      <c r="H93" s="51"/>
      <c r="I93" s="51"/>
      <c r="J93" s="51"/>
      <c r="K93" s="51"/>
      <c r="L93" s="344"/>
      <c r="M93" s="345"/>
      <c r="N93" s="346"/>
    </row>
    <row r="94" spans="1:14">
      <c r="A94" s="51" t="s">
        <v>289</v>
      </c>
      <c r="B94" s="51">
        <f>SUM(B83:B93)</f>
        <v>249</v>
      </c>
      <c r="C94" s="51">
        <f t="shared" ref="C94:K94" si="0">SUM(C83:C93)</f>
        <v>0</v>
      </c>
      <c r="D94" s="51">
        <f t="shared" si="0"/>
        <v>247</v>
      </c>
      <c r="E94" s="51">
        <f t="shared" si="0"/>
        <v>0</v>
      </c>
      <c r="F94" s="51">
        <f t="shared" si="0"/>
        <v>163</v>
      </c>
      <c r="G94" s="51">
        <f t="shared" si="0"/>
        <v>0</v>
      </c>
      <c r="H94" s="51">
        <f t="shared" si="0"/>
        <v>163</v>
      </c>
      <c r="I94" s="51">
        <f t="shared" si="0"/>
        <v>0</v>
      </c>
      <c r="J94" s="51">
        <f t="shared" si="0"/>
        <v>82</v>
      </c>
      <c r="K94" s="51">
        <f t="shared" si="0"/>
        <v>0</v>
      </c>
      <c r="L94" s="344"/>
      <c r="M94" s="345"/>
      <c r="N94" s="346"/>
    </row>
    <row r="95" spans="1:14" ht="20.25">
      <c r="A95" s="321" t="s">
        <v>828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</row>
    <row r="96" spans="1:14">
      <c r="A96" s="336" t="s">
        <v>655</v>
      </c>
      <c r="B96" s="338" t="s">
        <v>102</v>
      </c>
      <c r="C96" s="339"/>
      <c r="D96" s="339"/>
      <c r="E96" s="340"/>
      <c r="F96" s="338" t="s">
        <v>105</v>
      </c>
      <c r="G96" s="340"/>
      <c r="H96" s="338" t="s">
        <v>713</v>
      </c>
      <c r="I96" s="340"/>
      <c r="J96" s="338" t="s">
        <v>797</v>
      </c>
      <c r="K96" s="340"/>
      <c r="L96" s="327" t="s">
        <v>101</v>
      </c>
      <c r="M96" s="328"/>
      <c r="N96" s="329"/>
    </row>
    <row r="97" spans="1:14">
      <c r="A97" s="337"/>
      <c r="B97" s="88" t="s">
        <v>811</v>
      </c>
      <c r="C97" s="88" t="s">
        <v>812</v>
      </c>
      <c r="D97" s="88" t="s">
        <v>813</v>
      </c>
      <c r="E97" s="88" t="s">
        <v>814</v>
      </c>
      <c r="F97" s="88" t="s">
        <v>820</v>
      </c>
      <c r="G97" s="88" t="s">
        <v>821</v>
      </c>
      <c r="H97" s="88" t="s">
        <v>817</v>
      </c>
      <c r="I97" s="88" t="s">
        <v>818</v>
      </c>
      <c r="J97" s="88" t="s">
        <v>819</v>
      </c>
      <c r="K97" s="88" t="s">
        <v>807</v>
      </c>
      <c r="L97" s="330"/>
      <c r="M97" s="331"/>
      <c r="N97" s="332"/>
    </row>
    <row r="98" spans="1:14">
      <c r="A98" s="51" t="s">
        <v>493</v>
      </c>
      <c r="B98" s="51">
        <v>57</v>
      </c>
      <c r="C98" s="51"/>
      <c r="D98" s="51">
        <v>57</v>
      </c>
      <c r="E98" s="51"/>
      <c r="F98" s="51"/>
      <c r="G98" s="51"/>
      <c r="H98" s="51"/>
      <c r="I98" s="51"/>
      <c r="J98" s="51"/>
      <c r="K98" s="51"/>
      <c r="L98" s="333"/>
      <c r="M98" s="334"/>
      <c r="N98" s="335"/>
    </row>
    <row r="99" spans="1:14">
      <c r="A99" s="51" t="s">
        <v>625</v>
      </c>
      <c r="B99" s="51">
        <v>0</v>
      </c>
      <c r="C99" s="51"/>
      <c r="D99" s="51">
        <v>0</v>
      </c>
      <c r="E99" s="51"/>
      <c r="F99" s="51"/>
      <c r="G99" s="51"/>
      <c r="H99" s="51"/>
      <c r="I99" s="51"/>
      <c r="J99" s="51"/>
      <c r="K99" s="51"/>
      <c r="L99" s="333"/>
      <c r="M99" s="334"/>
      <c r="N99" s="335"/>
    </row>
    <row r="100" spans="1:14">
      <c r="A100" s="51" t="s">
        <v>585</v>
      </c>
      <c r="B100" s="51">
        <v>38</v>
      </c>
      <c r="C100" s="51"/>
      <c r="D100" s="51">
        <v>32</v>
      </c>
      <c r="E100" s="51"/>
      <c r="F100" s="51"/>
      <c r="G100" s="51"/>
      <c r="H100" s="51"/>
      <c r="I100" s="51"/>
      <c r="J100" s="51"/>
      <c r="K100" s="51"/>
      <c r="L100" s="333"/>
      <c r="M100" s="334"/>
      <c r="N100" s="335"/>
    </row>
    <row r="101" spans="1:14">
      <c r="A101" s="51" t="s">
        <v>627</v>
      </c>
      <c r="B101" s="51">
        <v>29</v>
      </c>
      <c r="C101" s="51"/>
      <c r="D101" s="51">
        <v>0</v>
      </c>
      <c r="E101" s="51"/>
      <c r="F101" s="51"/>
      <c r="G101" s="51"/>
      <c r="H101" s="51"/>
      <c r="I101" s="51"/>
      <c r="J101" s="51"/>
      <c r="K101" s="51"/>
      <c r="L101" s="333"/>
      <c r="M101" s="334"/>
      <c r="N101" s="335"/>
    </row>
    <row r="102" spans="1:14">
      <c r="A102" s="100" t="s">
        <v>289</v>
      </c>
      <c r="B102" s="100">
        <v>124</v>
      </c>
    </row>
  </sheetData>
  <mergeCells count="113">
    <mergeCell ref="L98:N98"/>
    <mergeCell ref="L99:N99"/>
    <mergeCell ref="L100:N100"/>
    <mergeCell ref="L101:N101"/>
    <mergeCell ref="A95:N95"/>
    <mergeCell ref="A96:A97"/>
    <mergeCell ref="B96:E96"/>
    <mergeCell ref="F96:G96"/>
    <mergeCell ref="H96:I96"/>
    <mergeCell ref="J96:K96"/>
    <mergeCell ref="L96:N97"/>
    <mergeCell ref="L89:N89"/>
    <mergeCell ref="L90:N90"/>
    <mergeCell ref="L91:N91"/>
    <mergeCell ref="L92:N92"/>
    <mergeCell ref="L93:N93"/>
    <mergeCell ref="L94:N94"/>
    <mergeCell ref="L83:N83"/>
    <mergeCell ref="L84:N84"/>
    <mergeCell ref="L85:N85"/>
    <mergeCell ref="L86:N86"/>
    <mergeCell ref="L87:N87"/>
    <mergeCell ref="L88:N88"/>
    <mergeCell ref="L69:N69"/>
    <mergeCell ref="L70:N70"/>
    <mergeCell ref="A80:N80"/>
    <mergeCell ref="A81:A82"/>
    <mergeCell ref="B81:E81"/>
    <mergeCell ref="F81:G81"/>
    <mergeCell ref="H81:I81"/>
    <mergeCell ref="J81:K81"/>
    <mergeCell ref="L81:N82"/>
    <mergeCell ref="A67:A68"/>
    <mergeCell ref="B67:E67"/>
    <mergeCell ref="F67:G67"/>
    <mergeCell ref="H67:I67"/>
    <mergeCell ref="J67:K67"/>
    <mergeCell ref="L67:N68"/>
    <mergeCell ref="L60:N61"/>
    <mergeCell ref="L62:N62"/>
    <mergeCell ref="L63:N63"/>
    <mergeCell ref="L64:N64"/>
    <mergeCell ref="L65:N65"/>
    <mergeCell ref="A66:M66"/>
    <mergeCell ref="L54:N54"/>
    <mergeCell ref="L55:N55"/>
    <mergeCell ref="L56:N56"/>
    <mergeCell ref="L57:N57"/>
    <mergeCell ref="A59:M59"/>
    <mergeCell ref="A60:A61"/>
    <mergeCell ref="B60:E60"/>
    <mergeCell ref="F60:G60"/>
    <mergeCell ref="H60:I60"/>
    <mergeCell ref="J60:K60"/>
    <mergeCell ref="L49:N49"/>
    <mergeCell ref="L50:N50"/>
    <mergeCell ref="A51:N51"/>
    <mergeCell ref="A52:A53"/>
    <mergeCell ref="B52:E52"/>
    <mergeCell ref="F52:G52"/>
    <mergeCell ref="H52:I52"/>
    <mergeCell ref="J52:K52"/>
    <mergeCell ref="L52:N53"/>
    <mergeCell ref="L43:N43"/>
    <mergeCell ref="L44:N44"/>
    <mergeCell ref="L45:N45"/>
    <mergeCell ref="L46:N46"/>
    <mergeCell ref="L47:N47"/>
    <mergeCell ref="L48:N48"/>
    <mergeCell ref="R29:R30"/>
    <mergeCell ref="A38:Q38"/>
    <mergeCell ref="A40:N40"/>
    <mergeCell ref="A41:A42"/>
    <mergeCell ref="B41:E41"/>
    <mergeCell ref="F41:G41"/>
    <mergeCell ref="H41:I41"/>
    <mergeCell ref="J41:K41"/>
    <mergeCell ref="L41:N42"/>
    <mergeCell ref="B26:C26"/>
    <mergeCell ref="A28:Q28"/>
    <mergeCell ref="A29:A31"/>
    <mergeCell ref="B29:F29"/>
    <mergeCell ref="G29:K29"/>
    <mergeCell ref="M29:M30"/>
    <mergeCell ref="N29:N30"/>
    <mergeCell ref="O29:O30"/>
    <mergeCell ref="P29:P30"/>
    <mergeCell ref="Q29:Q30"/>
    <mergeCell ref="A15:A20"/>
    <mergeCell ref="B15:B20"/>
    <mergeCell ref="A21:A22"/>
    <mergeCell ref="B21:C21"/>
    <mergeCell ref="B22:C22"/>
    <mergeCell ref="A23:A25"/>
    <mergeCell ref="A7:Q7"/>
    <mergeCell ref="A8:A9"/>
    <mergeCell ref="B8:C9"/>
    <mergeCell ref="D8:Q8"/>
    <mergeCell ref="R8:R9"/>
    <mergeCell ref="A10:A14"/>
    <mergeCell ref="B10:C10"/>
    <mergeCell ref="B11:C11"/>
    <mergeCell ref="B12:C12"/>
    <mergeCell ref="B13:B14"/>
    <mergeCell ref="A1:O1"/>
    <mergeCell ref="A2:O2"/>
    <mergeCell ref="A3:R3"/>
    <mergeCell ref="A4:R4"/>
    <mergeCell ref="A5:B6"/>
    <mergeCell ref="D5:E5"/>
    <mergeCell ref="F5:Q5"/>
    <mergeCell ref="D6:E6"/>
    <mergeCell ref="F6:Q6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"/>
  <sheetViews>
    <sheetView workbookViewId="0">
      <selection activeCell="P6" sqref="P6"/>
    </sheetView>
  </sheetViews>
  <sheetFormatPr defaultRowHeight="16.5"/>
  <cols>
    <col min="1" max="1" width="21.5" customWidth="1"/>
    <col min="2" max="2" width="6.125" customWidth="1"/>
    <col min="3" max="4" width="10.125" customWidth="1"/>
    <col min="5" max="5" width="10" customWidth="1"/>
    <col min="6" max="6" width="6.125" customWidth="1"/>
    <col min="7" max="7" width="14" customWidth="1"/>
    <col min="8" max="8" width="4.375" customWidth="1"/>
    <col min="9" max="16" width="4.375" bestFit="1" customWidth="1"/>
    <col min="17" max="17" width="5.125" customWidth="1"/>
  </cols>
  <sheetData>
    <row r="1" spans="1:20" ht="54.75" customHeight="1" thickBot="1">
      <c r="A1" s="347" t="s">
        <v>697</v>
      </c>
      <c r="B1" s="348"/>
      <c r="C1" s="348"/>
      <c r="D1" s="349"/>
      <c r="E1" s="349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>
        <v>2024</v>
      </c>
      <c r="S1">
        <v>2025</v>
      </c>
    </row>
    <row r="2" spans="1:20" ht="35.25" customHeight="1">
      <c r="A2" s="49"/>
      <c r="B2" s="50" t="s">
        <v>706</v>
      </c>
      <c r="C2" s="70" t="s">
        <v>707</v>
      </c>
      <c r="D2" s="72" t="s">
        <v>708</v>
      </c>
      <c r="E2" s="73" t="s">
        <v>704</v>
      </c>
      <c r="F2" s="50" t="s">
        <v>710</v>
      </c>
      <c r="G2" s="49" t="s">
        <v>721</v>
      </c>
      <c r="H2" s="49" t="s">
        <v>734</v>
      </c>
      <c r="I2" s="49" t="s">
        <v>735</v>
      </c>
      <c r="J2" s="49" t="s">
        <v>733</v>
      </c>
      <c r="K2" s="49" t="s">
        <v>723</v>
      </c>
      <c r="L2" s="49" t="s">
        <v>720</v>
      </c>
      <c r="M2" s="49" t="s">
        <v>718</v>
      </c>
      <c r="N2" s="49" t="s">
        <v>727</v>
      </c>
      <c r="O2" s="49" t="s">
        <v>728</v>
      </c>
      <c r="P2" s="49" t="s">
        <v>729</v>
      </c>
      <c r="Q2" s="49" t="s">
        <v>736</v>
      </c>
      <c r="R2" s="87" t="s">
        <v>725</v>
      </c>
      <c r="S2" s="352" t="s">
        <v>726</v>
      </c>
      <c r="T2" s="352" t="s">
        <v>724</v>
      </c>
    </row>
    <row r="3" spans="1:20" ht="35.25" customHeight="1">
      <c r="A3" s="51" t="s">
        <v>703</v>
      </c>
      <c r="B3" s="51">
        <v>125</v>
      </c>
      <c r="C3" s="71">
        <v>109</v>
      </c>
      <c r="D3" s="74">
        <v>42</v>
      </c>
      <c r="E3" s="84" t="s">
        <v>722</v>
      </c>
      <c r="F3" s="49" t="s">
        <v>131</v>
      </c>
      <c r="G3" s="83"/>
      <c r="H3" s="83"/>
      <c r="I3" s="82"/>
      <c r="J3" s="82"/>
      <c r="K3" s="82"/>
      <c r="L3" s="86"/>
      <c r="M3" s="82"/>
      <c r="N3" s="82"/>
      <c r="O3" s="82"/>
      <c r="P3" s="82"/>
      <c r="Q3" s="82"/>
      <c r="S3" s="352"/>
      <c r="T3" s="352"/>
    </row>
    <row r="4" spans="1:20" ht="35.25" customHeight="1">
      <c r="A4" s="51" t="s">
        <v>698</v>
      </c>
      <c r="B4" s="51">
        <v>60</v>
      </c>
      <c r="C4" s="71">
        <v>35</v>
      </c>
      <c r="D4" s="74">
        <v>20</v>
      </c>
      <c r="E4" s="84" t="s">
        <v>717</v>
      </c>
      <c r="F4" s="49" t="s">
        <v>616</v>
      </c>
      <c r="G4" s="82"/>
      <c r="H4" s="82"/>
      <c r="I4" s="82"/>
      <c r="J4" s="82"/>
      <c r="K4" s="86"/>
      <c r="L4" s="82"/>
      <c r="M4" s="82"/>
      <c r="N4" s="82"/>
      <c r="O4" s="82"/>
      <c r="P4" s="82"/>
      <c r="Q4" s="82"/>
    </row>
    <row r="5" spans="1:20" ht="33" customHeight="1">
      <c r="A5" s="51" t="s">
        <v>699</v>
      </c>
      <c r="B5" s="51">
        <v>2</v>
      </c>
      <c r="C5" s="71">
        <v>11</v>
      </c>
      <c r="D5" s="74">
        <v>1</v>
      </c>
      <c r="E5" s="84" t="s">
        <v>717</v>
      </c>
      <c r="F5" s="49" t="s">
        <v>616</v>
      </c>
      <c r="G5" s="82"/>
      <c r="H5" s="82"/>
      <c r="I5" s="82"/>
      <c r="J5" s="86"/>
      <c r="K5" s="82"/>
      <c r="L5" s="82"/>
      <c r="M5" s="82"/>
      <c r="N5" s="82"/>
      <c r="O5" s="82"/>
      <c r="P5" s="82"/>
      <c r="Q5" s="82"/>
    </row>
    <row r="6" spans="1:20" ht="27.75" thickBot="1">
      <c r="A6" s="51" t="s">
        <v>700</v>
      </c>
      <c r="B6" s="51">
        <v>267</v>
      </c>
      <c r="C6" s="71">
        <v>135</v>
      </c>
      <c r="D6" s="75">
        <v>89</v>
      </c>
      <c r="E6" s="76">
        <v>92</v>
      </c>
      <c r="F6" s="66" t="s">
        <v>711</v>
      </c>
      <c r="G6" s="85" t="s">
        <v>719</v>
      </c>
      <c r="H6" s="66"/>
      <c r="I6" s="82"/>
      <c r="J6" s="82"/>
      <c r="K6" s="82"/>
      <c r="L6" s="82"/>
      <c r="M6" s="86"/>
      <c r="N6" s="86"/>
      <c r="O6" s="86"/>
      <c r="P6" s="82"/>
      <c r="Q6" s="82"/>
    </row>
    <row r="7" spans="1:20" ht="17.25" thickBot="1">
      <c r="A7" s="350" t="s">
        <v>712</v>
      </c>
      <c r="B7" s="350"/>
      <c r="C7" s="350"/>
      <c r="D7" s="351"/>
      <c r="E7" s="351"/>
      <c r="F7" s="67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</row>
    <row r="8" spans="1:20" ht="32.25" customHeight="1">
      <c r="A8" s="51" t="s">
        <v>701</v>
      </c>
      <c r="B8" s="51">
        <v>124</v>
      </c>
      <c r="C8" s="71">
        <v>98</v>
      </c>
      <c r="D8" s="78">
        <v>42</v>
      </c>
      <c r="E8" s="79">
        <v>62</v>
      </c>
      <c r="F8" s="66" t="s">
        <v>711</v>
      </c>
      <c r="G8" s="85" t="s">
        <v>719</v>
      </c>
      <c r="H8" s="66"/>
      <c r="I8" s="82"/>
      <c r="J8" s="82"/>
      <c r="K8" s="86"/>
      <c r="L8" s="82"/>
      <c r="M8" s="82"/>
      <c r="N8" s="82"/>
      <c r="O8" s="82"/>
      <c r="P8" s="82"/>
      <c r="Q8" s="85"/>
    </row>
    <row r="9" spans="1:20" ht="33.75" customHeight="1">
      <c r="A9" s="51" t="s">
        <v>702</v>
      </c>
      <c r="B9" s="51">
        <v>152</v>
      </c>
      <c r="C9" s="71">
        <v>97</v>
      </c>
      <c r="D9" s="74">
        <v>51</v>
      </c>
      <c r="E9" s="84" t="s">
        <v>717</v>
      </c>
      <c r="F9" s="49" t="s">
        <v>616</v>
      </c>
      <c r="G9" s="82"/>
      <c r="H9" s="82"/>
      <c r="I9" s="82"/>
      <c r="J9" s="86"/>
      <c r="K9" s="82"/>
      <c r="L9" s="82"/>
      <c r="M9" s="82"/>
      <c r="N9" s="82"/>
      <c r="O9" s="82"/>
      <c r="P9" s="82"/>
      <c r="Q9" s="82"/>
    </row>
    <row r="10" spans="1:20" ht="35.25" customHeight="1" thickBot="1">
      <c r="A10" s="68" t="s">
        <v>705</v>
      </c>
      <c r="B10" s="69">
        <f>SUM(B3:B9)</f>
        <v>730</v>
      </c>
      <c r="C10" s="77">
        <f t="shared" ref="C10:D10" si="0">SUM(C3:C9)</f>
        <v>485</v>
      </c>
      <c r="D10" s="80">
        <f t="shared" si="0"/>
        <v>245</v>
      </c>
      <c r="E10" s="81">
        <v>154</v>
      </c>
      <c r="F10" s="51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</row>
  </sheetData>
  <mergeCells count="4">
    <mergeCell ref="A1:Q1"/>
    <mergeCell ref="A7:E7"/>
    <mergeCell ref="T2:T3"/>
    <mergeCell ref="S2:S3"/>
  </mergeCells>
  <phoneticPr fontId="1" type="noConversion"/>
  <pageMargins left="0.25" right="0.25" top="0.75" bottom="0.75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D78D-2A4C-450A-AE94-DA5B2766750A}">
  <dimension ref="B1:K35"/>
  <sheetViews>
    <sheetView tabSelected="1" topLeftCell="B1" zoomScale="115" zoomScaleNormal="115" workbookViewId="0">
      <selection activeCell="I22" sqref="I22"/>
    </sheetView>
  </sheetViews>
  <sheetFormatPr defaultRowHeight="16.5"/>
  <cols>
    <col min="1" max="1" width="1.625" customWidth="1"/>
    <col min="2" max="2" width="14.625" style="48" customWidth="1"/>
    <col min="3" max="3" width="6.5" customWidth="1"/>
    <col min="4" max="4" width="5.375" customWidth="1"/>
    <col min="5" max="5" width="31.125" customWidth="1"/>
    <col min="6" max="6" width="27.25" customWidth="1"/>
    <col min="7" max="7" width="40.25" customWidth="1"/>
    <col min="8" max="8" width="10.625" customWidth="1"/>
    <col min="9" max="9" width="9.25" customWidth="1"/>
    <col min="10" max="10" width="7.375" customWidth="1"/>
  </cols>
  <sheetData>
    <row r="1" spans="2:11" ht="18.75" customHeight="1">
      <c r="B1" s="258" t="s">
        <v>663</v>
      </c>
      <c r="C1" s="258"/>
      <c r="D1" s="258"/>
      <c r="E1" s="258"/>
      <c r="F1" s="61"/>
      <c r="G1" s="61"/>
      <c r="H1" s="61"/>
      <c r="I1" s="52"/>
      <c r="J1" s="53"/>
    </row>
    <row r="2" spans="2:11" ht="14.1" customHeight="1">
      <c r="B2" s="92" t="s">
        <v>655</v>
      </c>
      <c r="C2" s="93" t="s">
        <v>96</v>
      </c>
      <c r="D2" s="92" t="s">
        <v>635</v>
      </c>
      <c r="E2" s="93" t="s">
        <v>636</v>
      </c>
      <c r="F2" s="93" t="s">
        <v>1267</v>
      </c>
      <c r="G2" s="156" t="s">
        <v>14</v>
      </c>
      <c r="H2" s="62"/>
      <c r="I2" s="52"/>
      <c r="J2" s="53"/>
      <c r="K2" s="53"/>
    </row>
    <row r="3" spans="2:11" ht="14.1" customHeight="1">
      <c r="B3" s="263" t="s">
        <v>692</v>
      </c>
      <c r="C3" s="82" t="s">
        <v>539</v>
      </c>
      <c r="D3" s="82">
        <v>131</v>
      </c>
      <c r="E3" s="82" t="s">
        <v>633</v>
      </c>
      <c r="F3" s="271" t="s">
        <v>842</v>
      </c>
      <c r="G3" s="269" t="s">
        <v>843</v>
      </c>
      <c r="J3" s="53"/>
      <c r="K3" s="53"/>
    </row>
    <row r="4" spans="2:11" ht="14.1" customHeight="1">
      <c r="B4" s="263"/>
      <c r="C4" s="82" t="s">
        <v>618</v>
      </c>
      <c r="D4" s="82">
        <v>25</v>
      </c>
      <c r="E4" s="82" t="s">
        <v>634</v>
      </c>
      <c r="F4" s="272"/>
      <c r="G4" s="270"/>
      <c r="J4" s="53"/>
    </row>
    <row r="5" spans="2:11" ht="14.1" customHeight="1">
      <c r="B5" s="263"/>
      <c r="C5" s="82" t="s">
        <v>620</v>
      </c>
      <c r="D5" s="82">
        <v>22</v>
      </c>
      <c r="E5" s="82" t="s">
        <v>637</v>
      </c>
      <c r="F5" s="272"/>
      <c r="G5" s="270"/>
      <c r="J5" s="53"/>
    </row>
    <row r="6" spans="2:11" ht="14.1" customHeight="1">
      <c r="B6" s="263"/>
      <c r="C6" s="82" t="s">
        <v>621</v>
      </c>
      <c r="D6" s="82">
        <v>53</v>
      </c>
      <c r="E6" s="82" t="s">
        <v>637</v>
      </c>
      <c r="F6" s="272"/>
      <c r="G6" s="270"/>
      <c r="J6" s="53"/>
    </row>
    <row r="7" spans="2:11" ht="14.1" customHeight="1">
      <c r="B7" s="263"/>
      <c r="C7" s="82" t="s">
        <v>622</v>
      </c>
      <c r="D7" s="82">
        <v>11</v>
      </c>
      <c r="E7" s="82" t="s">
        <v>86</v>
      </c>
      <c r="F7" s="272"/>
      <c r="G7" s="270"/>
      <c r="J7" s="53"/>
    </row>
    <row r="8" spans="2:11" ht="14.1" customHeight="1">
      <c r="B8" s="263"/>
      <c r="C8" s="82" t="s">
        <v>623</v>
      </c>
      <c r="D8" s="82">
        <v>2</v>
      </c>
      <c r="E8" s="82" t="s">
        <v>86</v>
      </c>
      <c r="F8" s="272"/>
      <c r="G8" s="270"/>
    </row>
    <row r="9" spans="2:11" ht="14.1" customHeight="1">
      <c r="B9" s="263"/>
      <c r="C9" s="82" t="s">
        <v>624</v>
      </c>
      <c r="D9" s="82">
        <v>21</v>
      </c>
      <c r="E9" s="82" t="s">
        <v>639</v>
      </c>
      <c r="F9" s="273"/>
      <c r="G9" s="270"/>
    </row>
    <row r="10" spans="2:11" ht="14.1" customHeight="1">
      <c r="B10" s="263" t="s">
        <v>691</v>
      </c>
      <c r="C10" s="82" t="s">
        <v>493</v>
      </c>
      <c r="D10" s="82">
        <v>47</v>
      </c>
      <c r="E10" s="82" t="s">
        <v>640</v>
      </c>
      <c r="F10" s="271" t="s">
        <v>839</v>
      </c>
      <c r="G10" s="270"/>
    </row>
    <row r="11" spans="2:11" ht="14.1" customHeight="1">
      <c r="B11" s="263"/>
      <c r="C11" s="82" t="s">
        <v>625</v>
      </c>
      <c r="D11" s="82">
        <v>19</v>
      </c>
      <c r="E11" s="82" t="s">
        <v>643</v>
      </c>
      <c r="F11" s="272"/>
      <c r="G11" s="270"/>
    </row>
    <row r="12" spans="2:11" ht="14.1" customHeight="1">
      <c r="B12" s="263"/>
      <c r="C12" s="82" t="s">
        <v>585</v>
      </c>
      <c r="D12" s="82">
        <v>8</v>
      </c>
      <c r="E12" s="82" t="s">
        <v>642</v>
      </c>
      <c r="F12" s="272"/>
      <c r="G12" s="270"/>
    </row>
    <row r="13" spans="2:11">
      <c r="B13" s="263"/>
      <c r="C13" s="82" t="s">
        <v>627</v>
      </c>
      <c r="D13" s="82">
        <v>9</v>
      </c>
      <c r="E13" s="82" t="s">
        <v>641</v>
      </c>
      <c r="F13" s="273"/>
      <c r="G13" s="270"/>
    </row>
    <row r="14" spans="2:11" ht="14.1" customHeight="1">
      <c r="B14" s="263" t="s">
        <v>631</v>
      </c>
      <c r="C14" s="82" t="s">
        <v>539</v>
      </c>
      <c r="D14" s="82">
        <v>14</v>
      </c>
      <c r="E14" s="82" t="s">
        <v>645</v>
      </c>
      <c r="F14" s="271" t="s">
        <v>832</v>
      </c>
      <c r="G14" s="270"/>
    </row>
    <row r="15" spans="2:11" ht="14.1" customHeight="1">
      <c r="B15" s="263"/>
      <c r="C15" s="82" t="s">
        <v>618</v>
      </c>
      <c r="D15" s="82">
        <v>5</v>
      </c>
      <c r="E15" s="82" t="s">
        <v>644</v>
      </c>
      <c r="F15" s="273"/>
      <c r="G15" s="270"/>
    </row>
    <row r="16" spans="2:11" ht="14.1" customHeight="1">
      <c r="B16" s="105" t="s">
        <v>632</v>
      </c>
      <c r="C16" s="82"/>
      <c r="D16" s="82">
        <v>2</v>
      </c>
      <c r="E16" s="82" t="s">
        <v>684</v>
      </c>
      <c r="F16" s="157" t="s">
        <v>837</v>
      </c>
      <c r="G16" s="270"/>
    </row>
    <row r="17" spans="2:8" ht="14.1" customHeight="1">
      <c r="B17" s="266" t="s">
        <v>685</v>
      </c>
      <c r="C17" s="82" t="s">
        <v>539</v>
      </c>
      <c r="D17" s="82">
        <v>1</v>
      </c>
      <c r="E17" s="82" t="s">
        <v>689</v>
      </c>
      <c r="F17" s="271" t="s">
        <v>840</v>
      </c>
      <c r="G17" s="270"/>
    </row>
    <row r="18" spans="2:8" ht="14.1" customHeight="1">
      <c r="B18" s="267"/>
      <c r="C18" s="82" t="s">
        <v>617</v>
      </c>
      <c r="D18" s="82">
        <v>33</v>
      </c>
      <c r="E18" s="82" t="s">
        <v>646</v>
      </c>
      <c r="F18" s="272"/>
      <c r="G18" s="270"/>
    </row>
    <row r="19" spans="2:8" ht="14.1" customHeight="1">
      <c r="B19" s="267"/>
      <c r="C19" s="82" t="s">
        <v>619</v>
      </c>
      <c r="D19" s="82">
        <v>39</v>
      </c>
      <c r="E19" s="82" t="s">
        <v>647</v>
      </c>
      <c r="F19" s="272"/>
      <c r="G19" s="270"/>
    </row>
    <row r="20" spans="2:8" ht="14.1" customHeight="1">
      <c r="B20" s="267"/>
      <c r="C20" s="82" t="s">
        <v>628</v>
      </c>
      <c r="D20" s="82">
        <v>10</v>
      </c>
      <c r="E20" s="82" t="s">
        <v>648</v>
      </c>
      <c r="F20" s="272"/>
      <c r="G20" s="270"/>
    </row>
    <row r="21" spans="2:8" ht="14.1" customHeight="1">
      <c r="B21" s="267"/>
      <c r="C21" s="82" t="s">
        <v>629</v>
      </c>
      <c r="D21" s="82">
        <v>11</v>
      </c>
      <c r="E21" s="82" t="s">
        <v>688</v>
      </c>
      <c r="F21" s="272"/>
      <c r="G21" s="270"/>
    </row>
    <row r="22" spans="2:8" ht="14.1" customHeight="1">
      <c r="B22" s="267"/>
      <c r="C22" s="82" t="s">
        <v>622</v>
      </c>
      <c r="D22" s="82">
        <v>10</v>
      </c>
      <c r="E22" s="82" t="s">
        <v>649</v>
      </c>
      <c r="F22" s="272"/>
      <c r="G22" s="270"/>
    </row>
    <row r="23" spans="2:8" ht="14.1" customHeight="1">
      <c r="B23" s="267"/>
      <c r="C23" s="82" t="s">
        <v>623</v>
      </c>
      <c r="D23" s="82">
        <v>7</v>
      </c>
      <c r="E23" s="82" t="s">
        <v>650</v>
      </c>
      <c r="F23" s="272"/>
      <c r="G23" s="270"/>
    </row>
    <row r="24" spans="2:8" ht="14.1" customHeight="1">
      <c r="B24" s="267"/>
      <c r="C24" s="82" t="s">
        <v>624</v>
      </c>
      <c r="D24" s="82">
        <v>18</v>
      </c>
      <c r="E24" s="82" t="s">
        <v>651</v>
      </c>
      <c r="F24" s="272"/>
      <c r="G24" s="270"/>
    </row>
    <row r="25" spans="2:8" ht="14.1" customHeight="1">
      <c r="B25" s="267"/>
      <c r="C25" s="82" t="s">
        <v>630</v>
      </c>
      <c r="D25" s="82">
        <v>21</v>
      </c>
      <c r="E25" s="82" t="s">
        <v>652</v>
      </c>
      <c r="F25" s="272"/>
      <c r="G25" s="270"/>
    </row>
    <row r="26" spans="2:8" ht="14.1" customHeight="1">
      <c r="B26" s="267"/>
      <c r="C26" s="82" t="s">
        <v>731</v>
      </c>
      <c r="D26" s="82">
        <v>64</v>
      </c>
      <c r="E26" s="158"/>
      <c r="F26" s="272"/>
      <c r="G26" s="270"/>
    </row>
    <row r="27" spans="2:8" ht="14.1" customHeight="1">
      <c r="B27" s="268"/>
      <c r="C27" s="82" t="s">
        <v>732</v>
      </c>
      <c r="D27" s="82">
        <v>22</v>
      </c>
      <c r="E27" s="158"/>
      <c r="F27" s="273"/>
      <c r="G27" s="270"/>
    </row>
    <row r="28" spans="2:8" ht="14.1" customHeight="1">
      <c r="B28" s="263" t="s">
        <v>690</v>
      </c>
      <c r="C28" s="82" t="s">
        <v>493</v>
      </c>
      <c r="D28" s="82">
        <v>57</v>
      </c>
      <c r="E28" s="266" t="s">
        <v>666</v>
      </c>
      <c r="F28" s="271" t="s">
        <v>841</v>
      </c>
      <c r="G28" s="270"/>
      <c r="H28" s="60"/>
    </row>
    <row r="29" spans="2:8" ht="14.1" customHeight="1">
      <c r="B29" s="263"/>
      <c r="C29" s="82" t="s">
        <v>625</v>
      </c>
      <c r="D29" s="82" t="s">
        <v>485</v>
      </c>
      <c r="E29" s="268"/>
      <c r="F29" s="272"/>
      <c r="G29" s="270"/>
      <c r="H29" s="60"/>
    </row>
    <row r="30" spans="2:8" ht="14.1" customHeight="1">
      <c r="B30" s="263"/>
      <c r="C30" s="82" t="s">
        <v>585</v>
      </c>
      <c r="D30" s="82">
        <v>38</v>
      </c>
      <c r="E30" s="353" t="s">
        <v>665</v>
      </c>
      <c r="F30" s="272"/>
      <c r="G30" s="270"/>
      <c r="H30" s="63"/>
    </row>
    <row r="31" spans="2:8">
      <c r="B31" s="263"/>
      <c r="C31" s="82" t="s">
        <v>627</v>
      </c>
      <c r="D31" s="82">
        <v>29</v>
      </c>
      <c r="E31" s="354"/>
      <c r="F31" s="273"/>
      <c r="G31" s="270"/>
      <c r="H31" s="64"/>
    </row>
    <row r="32" spans="2:8" ht="14.1" customHeight="1">
      <c r="B32" s="91" t="s">
        <v>656</v>
      </c>
      <c r="C32" s="89"/>
      <c r="D32" s="89">
        <f>SUM(D3:D31)</f>
        <v>729</v>
      </c>
      <c r="E32" s="89">
        <f t="shared" ref="E32:F32" si="0">SUM(E3:E31)</f>
        <v>0</v>
      </c>
      <c r="F32" s="89">
        <f t="shared" si="0"/>
        <v>0</v>
      </c>
      <c r="G32" s="270"/>
      <c r="H32" s="65"/>
    </row>
    <row r="33" spans="2:8" ht="14.1" customHeight="1">
      <c r="B33" s="101"/>
      <c r="C33" s="102"/>
      <c r="D33" s="102"/>
      <c r="E33" s="104"/>
      <c r="F33" s="104"/>
      <c r="G33" s="104"/>
      <c r="H33" s="65"/>
    </row>
    <row r="34" spans="2:8">
      <c r="B34" s="95"/>
      <c r="C34" s="96"/>
      <c r="D34" s="96"/>
      <c r="E34" s="99"/>
      <c r="F34" s="99"/>
      <c r="G34" s="99"/>
      <c r="H34" s="53"/>
    </row>
    <row r="35" spans="2:8">
      <c r="E35" s="53"/>
      <c r="F35" s="53"/>
      <c r="G35" s="53"/>
      <c r="H35" s="53"/>
    </row>
  </sheetData>
  <mergeCells count="14">
    <mergeCell ref="B1:E1"/>
    <mergeCell ref="B3:B9"/>
    <mergeCell ref="F3:F9"/>
    <mergeCell ref="G3:G32"/>
    <mergeCell ref="B10:B13"/>
    <mergeCell ref="F10:F13"/>
    <mergeCell ref="B14:B15"/>
    <mergeCell ref="F14:F15"/>
    <mergeCell ref="B17:B27"/>
    <mergeCell ref="F17:F27"/>
    <mergeCell ref="B28:B31"/>
    <mergeCell ref="E28:E29"/>
    <mergeCell ref="F28:F31"/>
    <mergeCell ref="E30:E31"/>
  </mergeCells>
  <phoneticPr fontId="1" type="noConversion"/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E080-9565-4C0D-8BA6-C6A4EA91A7C8}">
  <dimension ref="A1:R196"/>
  <sheetViews>
    <sheetView topLeftCell="A177" zoomScale="115" zoomScaleNormal="115" workbookViewId="0">
      <selection activeCell="P200" sqref="P200"/>
    </sheetView>
  </sheetViews>
  <sheetFormatPr defaultRowHeight="12"/>
  <cols>
    <col min="1" max="1" width="6.625" style="161" customWidth="1"/>
    <col min="2" max="2" width="5.75" style="160" customWidth="1"/>
    <col min="3" max="3" width="5.875" style="160" customWidth="1"/>
    <col min="4" max="4" width="9" style="160"/>
    <col min="5" max="7" width="5.25" style="160" bestFit="1" customWidth="1"/>
    <col min="8" max="8" width="7.125" style="160" bestFit="1" customWidth="1"/>
    <col min="9" max="10" width="5.25" style="160" bestFit="1" customWidth="1"/>
    <col min="11" max="11" width="5.25" style="160" customWidth="1"/>
    <col min="12" max="12" width="7.125" style="160" bestFit="1" customWidth="1"/>
    <col min="13" max="13" width="5.625" style="160" customWidth="1"/>
    <col min="14" max="14" width="7.875" style="160" customWidth="1"/>
    <col min="15" max="15" width="5.5" style="160" customWidth="1"/>
    <col min="16" max="16" width="14.5" style="170" customWidth="1"/>
    <col min="17" max="17" width="29.25" style="170" customWidth="1"/>
    <col min="18" max="18" width="12.875" style="161" customWidth="1"/>
    <col min="19" max="16384" width="9" style="161"/>
  </cols>
  <sheetData>
    <row r="1" spans="1:18" ht="41.25" customHeight="1">
      <c r="A1" s="358" t="s">
        <v>1116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60"/>
    </row>
    <row r="2" spans="1:18">
      <c r="A2" s="357"/>
      <c r="B2" s="356" t="s">
        <v>844</v>
      </c>
      <c r="C2" s="361" t="s">
        <v>1142</v>
      </c>
      <c r="D2" s="356" t="s">
        <v>845</v>
      </c>
      <c r="E2" s="356" t="s">
        <v>846</v>
      </c>
      <c r="F2" s="356"/>
      <c r="G2" s="356"/>
      <c r="H2" s="356" t="s">
        <v>847</v>
      </c>
      <c r="I2" s="356"/>
      <c r="J2" s="356"/>
      <c r="K2" s="356"/>
      <c r="L2" s="356"/>
      <c r="M2" s="356"/>
      <c r="N2" s="356"/>
      <c r="O2" s="356" t="s">
        <v>868</v>
      </c>
      <c r="P2" s="355" t="s">
        <v>852</v>
      </c>
      <c r="Q2" s="363" t="s">
        <v>101</v>
      </c>
    </row>
    <row r="3" spans="1:18" ht="24">
      <c r="A3" s="357"/>
      <c r="B3" s="356"/>
      <c r="C3" s="362"/>
      <c r="D3" s="356"/>
      <c r="E3" s="159" t="s">
        <v>848</v>
      </c>
      <c r="F3" s="159" t="s">
        <v>849</v>
      </c>
      <c r="G3" s="159" t="s">
        <v>850</v>
      </c>
      <c r="H3" s="159" t="s">
        <v>929</v>
      </c>
      <c r="I3" s="159" t="s">
        <v>944</v>
      </c>
      <c r="J3" s="159" t="s">
        <v>851</v>
      </c>
      <c r="K3" s="159" t="s">
        <v>942</v>
      </c>
      <c r="L3" s="159" t="s">
        <v>956</v>
      </c>
      <c r="M3" s="159" t="s">
        <v>943</v>
      </c>
      <c r="N3" s="159" t="s">
        <v>1221</v>
      </c>
      <c r="O3" s="356"/>
      <c r="P3" s="355"/>
      <c r="Q3" s="363"/>
      <c r="R3" s="160" t="s">
        <v>945</v>
      </c>
    </row>
    <row r="4" spans="1:18" ht="24">
      <c r="A4" s="174" t="s">
        <v>162</v>
      </c>
      <c r="B4" s="159">
        <v>1</v>
      </c>
      <c r="C4" s="159"/>
      <c r="D4" s="159" t="s">
        <v>853</v>
      </c>
      <c r="E4" s="159">
        <v>411</v>
      </c>
      <c r="F4" s="159">
        <v>384</v>
      </c>
      <c r="G4" s="159">
        <v>50</v>
      </c>
      <c r="H4" s="171"/>
      <c r="I4" s="159"/>
      <c r="J4" s="159"/>
      <c r="K4" s="159"/>
      <c r="L4" s="159"/>
      <c r="M4" s="159"/>
      <c r="N4" s="159"/>
      <c r="O4" s="159"/>
      <c r="P4" s="157" t="s">
        <v>854</v>
      </c>
      <c r="Q4" s="166" t="s">
        <v>928</v>
      </c>
    </row>
    <row r="5" spans="1:18" ht="24">
      <c r="A5" s="357" t="s">
        <v>114</v>
      </c>
      <c r="B5" s="159" t="s">
        <v>164</v>
      </c>
      <c r="C5" s="159"/>
      <c r="D5" s="159" t="s">
        <v>914</v>
      </c>
      <c r="E5" s="159" t="s">
        <v>855</v>
      </c>
      <c r="F5" s="159" t="s">
        <v>856</v>
      </c>
      <c r="G5" s="159" t="s">
        <v>857</v>
      </c>
      <c r="H5" s="171" t="s">
        <v>937</v>
      </c>
      <c r="I5" s="159"/>
      <c r="J5" s="159"/>
      <c r="K5" s="159"/>
      <c r="L5" s="159"/>
      <c r="M5" s="159" t="s">
        <v>930</v>
      </c>
      <c r="N5" s="159"/>
      <c r="O5" s="159"/>
      <c r="P5" s="157" t="s">
        <v>933</v>
      </c>
      <c r="Q5" s="166" t="s">
        <v>932</v>
      </c>
    </row>
    <row r="6" spans="1:18">
      <c r="A6" s="357"/>
      <c r="B6" s="159" t="s">
        <v>165</v>
      </c>
      <c r="C6" s="159"/>
      <c r="D6" s="159" t="s">
        <v>914</v>
      </c>
      <c r="E6" s="159" t="s">
        <v>858</v>
      </c>
      <c r="F6" s="159" t="s">
        <v>859</v>
      </c>
      <c r="G6" s="159" t="s">
        <v>860</v>
      </c>
      <c r="H6" s="159"/>
      <c r="I6" s="159"/>
      <c r="J6" s="159"/>
      <c r="K6" s="159"/>
      <c r="L6" s="159"/>
      <c r="M6" s="159"/>
      <c r="N6" s="159"/>
      <c r="O6" s="159"/>
      <c r="P6" s="157" t="s">
        <v>934</v>
      </c>
      <c r="Q6" s="166" t="s">
        <v>920</v>
      </c>
    </row>
    <row r="7" spans="1:18" ht="24">
      <c r="A7" s="357"/>
      <c r="B7" s="159" t="s">
        <v>167</v>
      </c>
      <c r="C7" s="159"/>
      <c r="D7" s="159" t="s">
        <v>914</v>
      </c>
      <c r="E7" s="159" t="s">
        <v>861</v>
      </c>
      <c r="F7" s="159" t="s">
        <v>862</v>
      </c>
      <c r="G7" s="159" t="s">
        <v>863</v>
      </c>
      <c r="H7" s="171" t="s">
        <v>939</v>
      </c>
      <c r="I7" s="159"/>
      <c r="J7" s="159"/>
      <c r="K7" s="159"/>
      <c r="L7" s="159"/>
      <c r="M7" s="159" t="s">
        <v>930</v>
      </c>
      <c r="N7" s="159"/>
      <c r="O7" s="159"/>
      <c r="P7" s="157" t="s">
        <v>936</v>
      </c>
      <c r="Q7" s="166" t="s">
        <v>921</v>
      </c>
    </row>
    <row r="8" spans="1:18" ht="36">
      <c r="A8" s="357"/>
      <c r="B8" s="159" t="s">
        <v>169</v>
      </c>
      <c r="C8" s="159"/>
      <c r="D8" s="159" t="s">
        <v>913</v>
      </c>
      <c r="E8" s="159" t="s">
        <v>864</v>
      </c>
      <c r="F8" s="159" t="s">
        <v>865</v>
      </c>
      <c r="G8" s="159" t="s">
        <v>866</v>
      </c>
      <c r="H8" s="159" t="s">
        <v>939</v>
      </c>
      <c r="I8" s="159"/>
      <c r="J8" s="159"/>
      <c r="K8" s="159"/>
      <c r="L8" s="159"/>
      <c r="M8" s="159"/>
      <c r="N8" s="159"/>
      <c r="O8" s="159"/>
      <c r="P8" s="157" t="s">
        <v>938</v>
      </c>
      <c r="Q8" s="166" t="s">
        <v>922</v>
      </c>
    </row>
    <row r="9" spans="1:18" ht="24">
      <c r="A9" s="357"/>
      <c r="B9" s="159" t="s">
        <v>198</v>
      </c>
      <c r="C9" s="159"/>
      <c r="D9" s="159" t="s">
        <v>914</v>
      </c>
      <c r="E9" s="159" t="s">
        <v>867</v>
      </c>
      <c r="F9" s="159" t="s">
        <v>869</v>
      </c>
      <c r="G9" s="159" t="s">
        <v>870</v>
      </c>
      <c r="H9" s="159" t="s">
        <v>931</v>
      </c>
      <c r="I9" s="159" t="s">
        <v>931</v>
      </c>
      <c r="J9" s="159"/>
      <c r="K9" s="159"/>
      <c r="L9" s="159"/>
      <c r="M9" s="159"/>
      <c r="N9" s="159"/>
      <c r="O9" s="159" t="s">
        <v>931</v>
      </c>
      <c r="P9" s="157" t="s">
        <v>940</v>
      </c>
      <c r="Q9" s="166" t="s">
        <v>923</v>
      </c>
    </row>
    <row r="10" spans="1:18" ht="24">
      <c r="A10" s="357"/>
      <c r="B10" s="159" t="s">
        <v>199</v>
      </c>
      <c r="C10" s="159"/>
      <c r="D10" s="159" t="s">
        <v>914</v>
      </c>
      <c r="E10" s="159" t="s">
        <v>871</v>
      </c>
      <c r="F10" s="159" t="s">
        <v>872</v>
      </c>
      <c r="G10" s="159" t="s">
        <v>873</v>
      </c>
      <c r="H10" s="159" t="s">
        <v>931</v>
      </c>
      <c r="I10" s="159" t="s">
        <v>930</v>
      </c>
      <c r="J10" s="159"/>
      <c r="K10" s="159"/>
      <c r="L10" s="159"/>
      <c r="M10" s="159"/>
      <c r="N10" s="159"/>
      <c r="O10" s="159" t="s">
        <v>931</v>
      </c>
      <c r="P10" s="157" t="s">
        <v>938</v>
      </c>
      <c r="Q10" s="166" t="s">
        <v>924</v>
      </c>
    </row>
    <row r="11" spans="1:18" ht="24">
      <c r="A11" s="357"/>
      <c r="B11" s="159" t="s">
        <v>200</v>
      </c>
      <c r="C11" s="159"/>
      <c r="D11" s="159" t="s">
        <v>918</v>
      </c>
      <c r="E11" s="159" t="s">
        <v>874</v>
      </c>
      <c r="F11" s="159" t="s">
        <v>875</v>
      </c>
      <c r="G11" s="159" t="s">
        <v>876</v>
      </c>
      <c r="H11" s="159" t="s">
        <v>931</v>
      </c>
      <c r="I11" s="159" t="s">
        <v>939</v>
      </c>
      <c r="J11" s="159"/>
      <c r="K11" s="159" t="s">
        <v>930</v>
      </c>
      <c r="L11" s="159"/>
      <c r="M11" s="159" t="s">
        <v>949</v>
      </c>
      <c r="N11" s="159"/>
      <c r="O11" s="159"/>
      <c r="P11" s="157" t="s">
        <v>940</v>
      </c>
      <c r="Q11" s="166" t="s">
        <v>941</v>
      </c>
    </row>
    <row r="12" spans="1:18">
      <c r="A12" s="357"/>
      <c r="B12" s="159" t="s">
        <v>201</v>
      </c>
      <c r="C12" s="159"/>
      <c r="D12" s="159" t="s">
        <v>913</v>
      </c>
      <c r="E12" s="159" t="s">
        <v>877</v>
      </c>
      <c r="F12" s="159" t="s">
        <v>878</v>
      </c>
      <c r="G12" s="159" t="s">
        <v>113</v>
      </c>
      <c r="H12" s="159" t="s">
        <v>931</v>
      </c>
      <c r="I12" s="159" t="s">
        <v>939</v>
      </c>
      <c r="J12" s="159"/>
      <c r="K12" s="159"/>
      <c r="L12" s="159"/>
      <c r="M12" s="159"/>
      <c r="N12" s="159"/>
      <c r="O12" s="159"/>
      <c r="P12" s="157"/>
      <c r="Q12" s="166" t="s">
        <v>925</v>
      </c>
    </row>
    <row r="13" spans="1:18">
      <c r="A13" s="357"/>
      <c r="B13" s="159" t="s">
        <v>202</v>
      </c>
      <c r="C13" s="159"/>
      <c r="D13" s="159" t="s">
        <v>853</v>
      </c>
      <c r="E13" s="159" t="s">
        <v>879</v>
      </c>
      <c r="F13" s="159" t="s">
        <v>880</v>
      </c>
      <c r="G13" s="159" t="s">
        <v>870</v>
      </c>
      <c r="H13" s="159" t="s">
        <v>939</v>
      </c>
      <c r="I13" s="159"/>
      <c r="J13" s="159"/>
      <c r="K13" s="159"/>
      <c r="L13" s="159"/>
      <c r="M13" s="159"/>
      <c r="N13" s="159"/>
      <c r="O13" s="159"/>
      <c r="P13" s="157"/>
      <c r="Q13" s="166" t="s">
        <v>946</v>
      </c>
    </row>
    <row r="14" spans="1:18" ht="24">
      <c r="A14" s="357"/>
      <c r="B14" s="159" t="s">
        <v>203</v>
      </c>
      <c r="C14" s="159"/>
      <c r="D14" s="159" t="s">
        <v>853</v>
      </c>
      <c r="E14" s="159" t="s">
        <v>881</v>
      </c>
      <c r="F14" s="159" t="s">
        <v>882</v>
      </c>
      <c r="G14" s="159" t="s">
        <v>579</v>
      </c>
      <c r="H14" s="159"/>
      <c r="I14" s="159"/>
      <c r="J14" s="159"/>
      <c r="K14" s="159"/>
      <c r="L14" s="159"/>
      <c r="M14" s="159"/>
      <c r="N14" s="159"/>
      <c r="O14" s="159"/>
      <c r="P14" s="157" t="s">
        <v>938</v>
      </c>
      <c r="Q14" s="166" t="s">
        <v>926</v>
      </c>
    </row>
    <row r="15" spans="1:18" ht="24">
      <c r="A15" s="357"/>
      <c r="B15" s="159" t="s">
        <v>204</v>
      </c>
      <c r="C15" s="159"/>
      <c r="D15" s="159" t="s">
        <v>913</v>
      </c>
      <c r="E15" s="159" t="s">
        <v>856</v>
      </c>
      <c r="F15" s="159" t="s">
        <v>883</v>
      </c>
      <c r="G15" s="159" t="s">
        <v>884</v>
      </c>
      <c r="H15" s="159" t="s">
        <v>931</v>
      </c>
      <c r="I15" s="159" t="s">
        <v>931</v>
      </c>
      <c r="J15" s="159"/>
      <c r="K15" s="159"/>
      <c r="L15" s="159"/>
      <c r="M15" s="159"/>
      <c r="N15" s="159"/>
      <c r="O15" s="159"/>
      <c r="P15" s="157" t="s">
        <v>938</v>
      </c>
      <c r="Q15" s="166" t="s">
        <v>950</v>
      </c>
    </row>
    <row r="16" spans="1:18" ht="24">
      <c r="A16" s="357"/>
      <c r="B16" s="159" t="s">
        <v>205</v>
      </c>
      <c r="C16" s="159"/>
      <c r="D16" s="159" t="s">
        <v>913</v>
      </c>
      <c r="E16" s="159" t="s">
        <v>885</v>
      </c>
      <c r="F16" s="159" t="s">
        <v>886</v>
      </c>
      <c r="G16" s="159" t="s">
        <v>576</v>
      </c>
      <c r="H16" s="159"/>
      <c r="I16" s="159"/>
      <c r="J16" s="159"/>
      <c r="K16" s="159"/>
      <c r="L16" s="159"/>
      <c r="M16" s="159"/>
      <c r="N16" s="159" t="s">
        <v>931</v>
      </c>
      <c r="O16" s="159"/>
      <c r="P16" s="157"/>
      <c r="Q16" s="166" t="s">
        <v>947</v>
      </c>
    </row>
    <row r="17" spans="1:18" ht="24">
      <c r="A17" s="357"/>
      <c r="B17" s="159" t="s">
        <v>206</v>
      </c>
      <c r="C17" s="159"/>
      <c r="D17" s="159" t="s">
        <v>919</v>
      </c>
      <c r="E17" s="159" t="s">
        <v>887</v>
      </c>
      <c r="F17" s="159" t="s">
        <v>888</v>
      </c>
      <c r="G17" s="159" t="s">
        <v>866</v>
      </c>
      <c r="H17" s="159"/>
      <c r="I17" s="159"/>
      <c r="J17" s="159"/>
      <c r="K17" s="159"/>
      <c r="L17" s="159"/>
      <c r="M17" s="159"/>
      <c r="N17" s="159"/>
      <c r="O17" s="159"/>
      <c r="P17" s="157" t="s">
        <v>948</v>
      </c>
      <c r="Q17" s="166" t="s">
        <v>927</v>
      </c>
    </row>
    <row r="18" spans="1:18">
      <c r="A18" s="357"/>
      <c r="B18" s="159" t="s">
        <v>207</v>
      </c>
      <c r="C18" s="159"/>
      <c r="D18" s="159" t="s">
        <v>913</v>
      </c>
      <c r="E18" s="159" t="s">
        <v>889</v>
      </c>
      <c r="F18" s="159" t="s">
        <v>890</v>
      </c>
      <c r="G18" s="159" t="s">
        <v>891</v>
      </c>
      <c r="H18" s="159"/>
      <c r="I18" s="159"/>
      <c r="J18" s="159"/>
      <c r="K18" s="159"/>
      <c r="L18" s="159"/>
      <c r="M18" s="159"/>
      <c r="N18" s="159"/>
      <c r="O18" s="159"/>
      <c r="P18" s="157"/>
      <c r="Q18" s="166" t="s">
        <v>951</v>
      </c>
    </row>
    <row r="19" spans="1:18" ht="24">
      <c r="A19" s="357"/>
      <c r="B19" s="159" t="s">
        <v>208</v>
      </c>
      <c r="C19" s="159"/>
      <c r="D19" s="159" t="s">
        <v>914</v>
      </c>
      <c r="E19" s="159" t="s">
        <v>892</v>
      </c>
      <c r="F19" s="159" t="s">
        <v>893</v>
      </c>
      <c r="G19" s="159" t="s">
        <v>894</v>
      </c>
      <c r="H19" s="159"/>
      <c r="I19" s="159"/>
      <c r="J19" s="159"/>
      <c r="K19" s="159"/>
      <c r="L19" s="159"/>
      <c r="M19" s="159"/>
      <c r="N19" s="159"/>
      <c r="O19" s="159"/>
      <c r="P19" s="157"/>
      <c r="Q19" s="166" t="s">
        <v>952</v>
      </c>
    </row>
    <row r="20" spans="1:18">
      <c r="A20" s="357"/>
      <c r="B20" s="159" t="s">
        <v>209</v>
      </c>
      <c r="C20" s="159"/>
      <c r="D20" s="159" t="s">
        <v>913</v>
      </c>
      <c r="E20" s="159" t="s">
        <v>895</v>
      </c>
      <c r="F20" s="159" t="s">
        <v>896</v>
      </c>
      <c r="G20" s="159" t="s">
        <v>897</v>
      </c>
      <c r="H20" s="159"/>
      <c r="I20" s="159"/>
      <c r="J20" s="159"/>
      <c r="K20" s="159"/>
      <c r="L20" s="159"/>
      <c r="M20" s="159"/>
      <c r="N20" s="159"/>
      <c r="O20" s="159" t="s">
        <v>931</v>
      </c>
      <c r="P20" s="157" t="s">
        <v>935</v>
      </c>
      <c r="Q20" s="166" t="s">
        <v>953</v>
      </c>
    </row>
    <row r="21" spans="1:18">
      <c r="A21" s="357"/>
      <c r="B21" s="159" t="s">
        <v>210</v>
      </c>
      <c r="C21" s="159"/>
      <c r="D21" s="159" t="s">
        <v>913</v>
      </c>
      <c r="E21" s="159" t="s">
        <v>898</v>
      </c>
      <c r="F21" s="159" t="s">
        <v>899</v>
      </c>
      <c r="G21" s="159" t="s">
        <v>900</v>
      </c>
      <c r="H21" s="159" t="s">
        <v>939</v>
      </c>
      <c r="I21" s="159"/>
      <c r="J21" s="159" t="s">
        <v>939</v>
      </c>
      <c r="K21" s="159" t="s">
        <v>930</v>
      </c>
      <c r="L21" s="159"/>
      <c r="M21" s="159"/>
      <c r="N21" s="159"/>
      <c r="O21" s="159"/>
      <c r="P21" s="157"/>
      <c r="Q21" s="166" t="s">
        <v>955</v>
      </c>
    </row>
    <row r="22" spans="1:18" ht="24">
      <c r="A22" s="357"/>
      <c r="B22" s="159" t="s">
        <v>211</v>
      </c>
      <c r="C22" s="159"/>
      <c r="D22" s="159" t="s">
        <v>917</v>
      </c>
      <c r="E22" s="159" t="s">
        <v>901</v>
      </c>
      <c r="F22" s="159" t="s">
        <v>902</v>
      </c>
      <c r="G22" s="159" t="s">
        <v>884</v>
      </c>
      <c r="H22" s="159" t="s">
        <v>937</v>
      </c>
      <c r="I22" s="159"/>
      <c r="J22" s="159"/>
      <c r="K22" s="159"/>
      <c r="L22" s="159"/>
      <c r="M22" s="159"/>
      <c r="N22" s="159" t="s">
        <v>931</v>
      </c>
      <c r="O22" s="159"/>
      <c r="P22" s="157" t="s">
        <v>935</v>
      </c>
      <c r="Q22" s="166" t="s">
        <v>957</v>
      </c>
    </row>
    <row r="23" spans="1:18" ht="24">
      <c r="A23" s="357"/>
      <c r="B23" s="159" t="s">
        <v>212</v>
      </c>
      <c r="C23" s="159"/>
      <c r="D23" s="159" t="s">
        <v>915</v>
      </c>
      <c r="E23" s="159" t="s">
        <v>903</v>
      </c>
      <c r="F23" s="159" t="s">
        <v>904</v>
      </c>
      <c r="G23" s="159" t="s">
        <v>900</v>
      </c>
      <c r="H23" s="159"/>
      <c r="I23" s="159"/>
      <c r="J23" s="159"/>
      <c r="K23" s="159"/>
      <c r="L23" s="159"/>
      <c r="M23" s="159"/>
      <c r="N23" s="159" t="s">
        <v>931</v>
      </c>
      <c r="O23" s="159"/>
      <c r="P23" s="157" t="s">
        <v>948</v>
      </c>
      <c r="Q23" s="166" t="s">
        <v>958</v>
      </c>
    </row>
    <row r="24" spans="1:18" ht="24">
      <c r="A24" s="357"/>
      <c r="B24" s="159" t="s">
        <v>213</v>
      </c>
      <c r="C24" s="159"/>
      <c r="D24" s="159" t="s">
        <v>915</v>
      </c>
      <c r="E24" s="159" t="s">
        <v>879</v>
      </c>
      <c r="F24" s="159" t="s">
        <v>905</v>
      </c>
      <c r="G24" s="159" t="s">
        <v>906</v>
      </c>
      <c r="H24" s="159" t="s">
        <v>939</v>
      </c>
      <c r="I24" s="159"/>
      <c r="J24" s="159"/>
      <c r="K24" s="159"/>
      <c r="L24" s="159"/>
      <c r="M24" s="159"/>
      <c r="N24" s="159"/>
      <c r="O24" s="159"/>
      <c r="P24" s="157" t="s">
        <v>960</v>
      </c>
      <c r="Q24" s="166" t="s">
        <v>959</v>
      </c>
    </row>
    <row r="25" spans="1:18" ht="48">
      <c r="A25" s="174"/>
      <c r="B25" s="159" t="s">
        <v>214</v>
      </c>
      <c r="C25" s="159"/>
      <c r="D25" s="159" t="s">
        <v>914</v>
      </c>
      <c r="E25" s="159" t="s">
        <v>907</v>
      </c>
      <c r="F25" s="159" t="s">
        <v>908</v>
      </c>
      <c r="G25" s="159" t="s">
        <v>909</v>
      </c>
      <c r="H25" s="159" t="s">
        <v>931</v>
      </c>
      <c r="I25" s="159" t="s">
        <v>931</v>
      </c>
      <c r="J25" s="159"/>
      <c r="K25" s="159"/>
      <c r="L25" s="159"/>
      <c r="M25" s="159"/>
      <c r="N25" s="159" t="s">
        <v>931</v>
      </c>
      <c r="O25" s="159"/>
      <c r="P25" s="157"/>
      <c r="Q25" s="166" t="s">
        <v>961</v>
      </c>
    </row>
    <row r="26" spans="1:18">
      <c r="A26" s="174"/>
      <c r="B26" s="159" t="s">
        <v>215</v>
      </c>
      <c r="C26" s="159"/>
      <c r="D26" s="159" t="s">
        <v>913</v>
      </c>
      <c r="E26" s="159" t="s">
        <v>910</v>
      </c>
      <c r="F26" s="159" t="s">
        <v>911</v>
      </c>
      <c r="G26" s="159" t="s">
        <v>113</v>
      </c>
      <c r="H26" s="159" t="s">
        <v>939</v>
      </c>
      <c r="I26" s="159"/>
      <c r="J26" s="159"/>
      <c r="K26" s="159"/>
      <c r="L26" s="159"/>
      <c r="M26" s="159"/>
      <c r="N26" s="159"/>
      <c r="O26" s="159"/>
      <c r="P26" s="157" t="s">
        <v>962</v>
      </c>
      <c r="Q26" s="166" t="s">
        <v>963</v>
      </c>
    </row>
    <row r="27" spans="1:18" ht="24">
      <c r="A27" s="174"/>
      <c r="B27" s="159" t="s">
        <v>216</v>
      </c>
      <c r="C27" s="159"/>
      <c r="D27" s="159" t="s">
        <v>916</v>
      </c>
      <c r="E27" s="159" t="s">
        <v>912</v>
      </c>
      <c r="F27" s="159" t="s">
        <v>878</v>
      </c>
      <c r="G27" s="159" t="s">
        <v>897</v>
      </c>
      <c r="H27" s="159" t="s">
        <v>939</v>
      </c>
      <c r="I27" s="159"/>
      <c r="J27" s="159"/>
      <c r="K27" s="159"/>
      <c r="L27" s="159"/>
      <c r="M27" s="159"/>
      <c r="N27" s="159"/>
      <c r="O27" s="159"/>
      <c r="P27" s="157" t="s">
        <v>964</v>
      </c>
      <c r="Q27" s="166" t="s">
        <v>965</v>
      </c>
    </row>
    <row r="28" spans="1:18" ht="12.75" thickBot="1">
      <c r="A28" s="175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7"/>
      <c r="Q28" s="168"/>
    </row>
    <row r="29" spans="1:18" ht="38.25" customHeight="1">
      <c r="A29" s="365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7"/>
    </row>
    <row r="30" spans="1:18" ht="48" customHeight="1">
      <c r="A30" s="356" t="s">
        <v>1066</v>
      </c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6"/>
      <c r="P30" s="356"/>
      <c r="Q30" s="356"/>
    </row>
    <row r="31" spans="1:18">
      <c r="A31" s="361" t="s">
        <v>1114</v>
      </c>
      <c r="B31" s="356" t="s">
        <v>844</v>
      </c>
      <c r="C31" s="356" t="s">
        <v>1142</v>
      </c>
      <c r="D31" s="356" t="s">
        <v>845</v>
      </c>
      <c r="E31" s="356" t="s">
        <v>846</v>
      </c>
      <c r="F31" s="356"/>
      <c r="G31" s="356"/>
      <c r="H31" s="356" t="s">
        <v>847</v>
      </c>
      <c r="I31" s="356"/>
      <c r="J31" s="356"/>
      <c r="K31" s="356"/>
      <c r="L31" s="356"/>
      <c r="M31" s="356"/>
      <c r="N31" s="356"/>
      <c r="O31" s="356" t="s">
        <v>868</v>
      </c>
      <c r="P31" s="355" t="s">
        <v>852</v>
      </c>
      <c r="Q31" s="355" t="s">
        <v>101</v>
      </c>
    </row>
    <row r="32" spans="1:18" ht="24">
      <c r="A32" s="364"/>
      <c r="B32" s="356"/>
      <c r="C32" s="356"/>
      <c r="D32" s="356"/>
      <c r="E32" s="159" t="s">
        <v>848</v>
      </c>
      <c r="F32" s="159" t="s">
        <v>849</v>
      </c>
      <c r="G32" s="159" t="s">
        <v>850</v>
      </c>
      <c r="H32" s="159" t="s">
        <v>1218</v>
      </c>
      <c r="I32" s="159" t="s">
        <v>1217</v>
      </c>
      <c r="J32" s="159" t="s">
        <v>851</v>
      </c>
      <c r="K32" s="159" t="s">
        <v>942</v>
      </c>
      <c r="L32" s="159" t="s">
        <v>1234</v>
      </c>
      <c r="M32" s="159" t="s">
        <v>943</v>
      </c>
      <c r="N32" s="159" t="s">
        <v>1221</v>
      </c>
      <c r="O32" s="356"/>
      <c r="P32" s="355"/>
      <c r="Q32" s="355"/>
      <c r="R32" s="160" t="s">
        <v>945</v>
      </c>
    </row>
    <row r="33" spans="1:18">
      <c r="A33" s="364"/>
      <c r="B33" s="159" t="s">
        <v>164</v>
      </c>
      <c r="C33" s="176">
        <v>1</v>
      </c>
      <c r="D33" s="163" t="s">
        <v>966</v>
      </c>
      <c r="E33" s="163">
        <v>226</v>
      </c>
      <c r="F33" s="163">
        <v>281</v>
      </c>
      <c r="G33" s="163">
        <v>35</v>
      </c>
      <c r="H33" s="163"/>
      <c r="I33" s="163" t="s">
        <v>968</v>
      </c>
      <c r="J33" s="163" t="s">
        <v>969</v>
      </c>
      <c r="K33" s="159"/>
      <c r="L33" s="163"/>
      <c r="M33" s="163"/>
      <c r="N33" s="163"/>
      <c r="O33" s="159"/>
      <c r="P33" s="169" t="s">
        <v>1049</v>
      </c>
      <c r="Q33" s="169" t="s">
        <v>981</v>
      </c>
    </row>
    <row r="34" spans="1:18" ht="24">
      <c r="A34" s="364"/>
      <c r="B34" s="159" t="s">
        <v>165</v>
      </c>
      <c r="C34" s="177">
        <v>2</v>
      </c>
      <c r="D34" s="163" t="s">
        <v>966</v>
      </c>
      <c r="E34" s="163">
        <v>436</v>
      </c>
      <c r="F34" s="163">
        <v>220</v>
      </c>
      <c r="G34" s="163">
        <v>25</v>
      </c>
      <c r="H34" s="163"/>
      <c r="I34" s="163" t="s">
        <v>968</v>
      </c>
      <c r="J34" s="163"/>
      <c r="K34" s="159"/>
      <c r="L34" s="163"/>
      <c r="M34" s="159"/>
      <c r="N34" s="163"/>
      <c r="O34" s="159"/>
      <c r="P34" s="169" t="s">
        <v>1050</v>
      </c>
      <c r="Q34" s="169" t="s">
        <v>982</v>
      </c>
    </row>
    <row r="35" spans="1:18" ht="24">
      <c r="A35" s="364"/>
      <c r="B35" s="159" t="s">
        <v>167</v>
      </c>
      <c r="C35" s="177" t="s">
        <v>552</v>
      </c>
      <c r="D35" s="163" t="s">
        <v>970</v>
      </c>
      <c r="E35" s="163">
        <v>360</v>
      </c>
      <c r="F35" s="163">
        <v>270</v>
      </c>
      <c r="G35" s="163">
        <v>23</v>
      </c>
      <c r="H35" s="163" t="s">
        <v>930</v>
      </c>
      <c r="I35" s="163"/>
      <c r="J35" s="163"/>
      <c r="K35" s="159"/>
      <c r="L35" s="163"/>
      <c r="M35" s="159"/>
      <c r="N35" s="163"/>
      <c r="O35" s="159"/>
      <c r="P35" s="169" t="s">
        <v>1049</v>
      </c>
      <c r="Q35" s="169" t="s">
        <v>985</v>
      </c>
    </row>
    <row r="36" spans="1:18">
      <c r="A36" s="364"/>
      <c r="B36" s="159" t="s">
        <v>169</v>
      </c>
      <c r="C36" s="177" t="s">
        <v>553</v>
      </c>
      <c r="D36" s="163" t="s">
        <v>966</v>
      </c>
      <c r="E36" s="163">
        <v>277</v>
      </c>
      <c r="F36" s="163">
        <v>126</v>
      </c>
      <c r="G36" s="163">
        <v>15</v>
      </c>
      <c r="H36" s="163" t="s">
        <v>939</v>
      </c>
      <c r="I36" s="163" t="s">
        <v>968</v>
      </c>
      <c r="J36" s="163"/>
      <c r="K36" s="159"/>
      <c r="L36" s="163"/>
      <c r="M36" s="159"/>
      <c r="N36" s="163"/>
      <c r="O36" s="159"/>
      <c r="P36" s="169" t="s">
        <v>1049</v>
      </c>
      <c r="Q36" s="169" t="s">
        <v>1219</v>
      </c>
    </row>
    <row r="37" spans="1:18" ht="36">
      <c r="A37" s="364"/>
      <c r="B37" s="159" t="s">
        <v>198</v>
      </c>
      <c r="C37" s="177" t="s">
        <v>109</v>
      </c>
      <c r="D37" s="163" t="s">
        <v>966</v>
      </c>
      <c r="E37" s="163">
        <v>340</v>
      </c>
      <c r="F37" s="163">
        <v>228</v>
      </c>
      <c r="G37" s="163">
        <v>15</v>
      </c>
      <c r="H37" s="163"/>
      <c r="I37" s="163" t="s">
        <v>968</v>
      </c>
      <c r="J37" s="163"/>
      <c r="K37" s="159"/>
      <c r="L37" s="163"/>
      <c r="M37" s="159"/>
      <c r="N37" s="163"/>
      <c r="O37" s="159"/>
      <c r="P37" s="169" t="s">
        <v>1220</v>
      </c>
      <c r="Q37" s="169" t="s">
        <v>986</v>
      </c>
    </row>
    <row r="38" spans="1:18" ht="36">
      <c r="A38" s="364"/>
      <c r="B38" s="159" t="s">
        <v>199</v>
      </c>
      <c r="C38" s="177" t="s">
        <v>108</v>
      </c>
      <c r="D38" s="163" t="s">
        <v>970</v>
      </c>
      <c r="E38" s="163">
        <v>260</v>
      </c>
      <c r="F38" s="163">
        <v>245</v>
      </c>
      <c r="G38" s="163">
        <v>35</v>
      </c>
      <c r="H38" s="163" t="s">
        <v>930</v>
      </c>
      <c r="I38" s="163"/>
      <c r="J38" s="163"/>
      <c r="K38" s="159"/>
      <c r="L38" s="163"/>
      <c r="M38" s="159"/>
      <c r="N38" s="163"/>
      <c r="O38" s="159"/>
      <c r="P38" s="169" t="s">
        <v>968</v>
      </c>
      <c r="Q38" s="169" t="s">
        <v>987</v>
      </c>
    </row>
    <row r="39" spans="1:18" ht="36">
      <c r="A39" s="364"/>
      <c r="B39" s="159" t="s">
        <v>200</v>
      </c>
      <c r="C39" s="177">
        <v>6</v>
      </c>
      <c r="D39" s="163" t="s">
        <v>966</v>
      </c>
      <c r="E39" s="163">
        <v>490</v>
      </c>
      <c r="F39" s="163">
        <v>330</v>
      </c>
      <c r="G39" s="163">
        <v>50</v>
      </c>
      <c r="H39" s="172" t="s">
        <v>939</v>
      </c>
      <c r="I39" s="163" t="s">
        <v>930</v>
      </c>
      <c r="J39" s="163" t="s">
        <v>971</v>
      </c>
      <c r="K39" s="159"/>
      <c r="L39" s="163" t="s">
        <v>930</v>
      </c>
      <c r="M39" s="159"/>
      <c r="N39" s="163" t="s">
        <v>1222</v>
      </c>
      <c r="O39" s="159"/>
      <c r="P39" s="169" t="s">
        <v>1051</v>
      </c>
      <c r="Q39" s="169" t="s">
        <v>988</v>
      </c>
      <c r="R39" s="161" t="s">
        <v>1223</v>
      </c>
    </row>
    <row r="40" spans="1:18" ht="24">
      <c r="A40" s="364"/>
      <c r="B40" s="159" t="s">
        <v>201</v>
      </c>
      <c r="C40" s="177">
        <v>7</v>
      </c>
      <c r="D40" s="163" t="s">
        <v>966</v>
      </c>
      <c r="E40" s="163">
        <v>490</v>
      </c>
      <c r="F40" s="163">
        <v>315</v>
      </c>
      <c r="G40" s="163">
        <v>50</v>
      </c>
      <c r="H40" s="163" t="s">
        <v>930</v>
      </c>
      <c r="I40" s="163" t="s">
        <v>930</v>
      </c>
      <c r="J40" s="163" t="s">
        <v>972</v>
      </c>
      <c r="K40" s="159"/>
      <c r="L40" s="163" t="s">
        <v>930</v>
      </c>
      <c r="M40" s="159"/>
      <c r="N40" s="163"/>
      <c r="O40" s="159"/>
      <c r="P40" s="169" t="s">
        <v>1052</v>
      </c>
      <c r="Q40" s="169" t="s">
        <v>989</v>
      </c>
      <c r="R40" s="161" t="s">
        <v>1224</v>
      </c>
    </row>
    <row r="41" spans="1:18" ht="24">
      <c r="A41" s="364"/>
      <c r="B41" s="159" t="s">
        <v>202</v>
      </c>
      <c r="C41" s="177">
        <v>10</v>
      </c>
      <c r="D41" s="163" t="s">
        <v>966</v>
      </c>
      <c r="E41" s="163">
        <v>445</v>
      </c>
      <c r="F41" s="163">
        <v>265</v>
      </c>
      <c r="G41" s="163">
        <v>70</v>
      </c>
      <c r="H41" s="163" t="s">
        <v>930</v>
      </c>
      <c r="I41" s="163" t="s">
        <v>968</v>
      </c>
      <c r="J41" s="163" t="s">
        <v>971</v>
      </c>
      <c r="K41" s="159"/>
      <c r="L41" s="163" t="s">
        <v>931</v>
      </c>
      <c r="M41" s="159"/>
      <c r="N41" s="163"/>
      <c r="O41" s="159"/>
      <c r="P41" s="169" t="s">
        <v>1049</v>
      </c>
      <c r="Q41" s="169" t="s">
        <v>990</v>
      </c>
    </row>
    <row r="42" spans="1:18">
      <c r="A42" s="364"/>
      <c r="B42" s="159" t="s">
        <v>203</v>
      </c>
      <c r="C42" s="177">
        <v>11</v>
      </c>
      <c r="D42" s="163" t="s">
        <v>966</v>
      </c>
      <c r="E42" s="163">
        <v>30</v>
      </c>
      <c r="F42" s="163">
        <v>150</v>
      </c>
      <c r="G42" s="163">
        <v>45</v>
      </c>
      <c r="H42" s="163"/>
      <c r="I42" s="163" t="s">
        <v>968</v>
      </c>
      <c r="J42" s="163"/>
      <c r="K42" s="159"/>
      <c r="L42" s="163"/>
      <c r="M42" s="159"/>
      <c r="N42" s="163"/>
      <c r="O42" s="159"/>
      <c r="P42" s="169" t="s">
        <v>1049</v>
      </c>
      <c r="Q42" s="169" t="s">
        <v>983</v>
      </c>
    </row>
    <row r="43" spans="1:18">
      <c r="A43" s="364"/>
      <c r="B43" s="159" t="s">
        <v>204</v>
      </c>
      <c r="C43" s="177">
        <v>13</v>
      </c>
      <c r="D43" s="163" t="s">
        <v>966</v>
      </c>
      <c r="E43" s="163">
        <v>270</v>
      </c>
      <c r="F43" s="163">
        <v>130</v>
      </c>
      <c r="G43" s="163">
        <v>25</v>
      </c>
      <c r="H43" s="163"/>
      <c r="I43" s="163" t="s">
        <v>968</v>
      </c>
      <c r="J43" s="163"/>
      <c r="K43" s="159"/>
      <c r="L43" s="163" t="s">
        <v>930</v>
      </c>
      <c r="M43" s="159"/>
      <c r="N43" s="163"/>
      <c r="O43" s="159"/>
      <c r="P43" s="169" t="s">
        <v>1049</v>
      </c>
      <c r="Q43" s="169" t="s">
        <v>991</v>
      </c>
    </row>
    <row r="44" spans="1:18">
      <c r="A44" s="364"/>
      <c r="B44" s="159" t="s">
        <v>205</v>
      </c>
      <c r="C44" s="177">
        <v>15</v>
      </c>
      <c r="D44" s="163" t="s">
        <v>970</v>
      </c>
      <c r="E44" s="163">
        <v>177</v>
      </c>
      <c r="F44" s="163">
        <v>149</v>
      </c>
      <c r="G44" s="163">
        <v>13</v>
      </c>
      <c r="H44" s="163"/>
      <c r="I44" s="163" t="s">
        <v>968</v>
      </c>
      <c r="J44" s="163" t="s">
        <v>979</v>
      </c>
      <c r="K44" s="159"/>
      <c r="L44" s="163"/>
      <c r="M44" s="159"/>
      <c r="N44" s="163"/>
      <c r="O44" s="159"/>
      <c r="P44" s="169" t="s">
        <v>967</v>
      </c>
      <c r="Q44" s="169" t="s">
        <v>992</v>
      </c>
    </row>
    <row r="45" spans="1:18" ht="24">
      <c r="A45" s="364"/>
      <c r="B45" s="159" t="s">
        <v>206</v>
      </c>
      <c r="C45" s="177">
        <v>16</v>
      </c>
      <c r="D45" s="163" t="s">
        <v>966</v>
      </c>
      <c r="E45" s="163">
        <v>410</v>
      </c>
      <c r="F45" s="163">
        <v>190</v>
      </c>
      <c r="G45" s="163">
        <v>30</v>
      </c>
      <c r="H45" s="163"/>
      <c r="I45" s="163" t="s">
        <v>968</v>
      </c>
      <c r="J45" s="163" t="s">
        <v>973</v>
      </c>
      <c r="K45" s="159"/>
      <c r="L45" s="163"/>
      <c r="M45" s="159"/>
      <c r="N45" s="163"/>
      <c r="O45" s="159"/>
      <c r="P45" s="169" t="s">
        <v>1053</v>
      </c>
      <c r="Q45" s="169" t="s">
        <v>993</v>
      </c>
    </row>
    <row r="46" spans="1:18" ht="24">
      <c r="A46" s="364"/>
      <c r="B46" s="159" t="s">
        <v>207</v>
      </c>
      <c r="C46" s="177" t="s">
        <v>1126</v>
      </c>
      <c r="D46" s="163" t="s">
        <v>966</v>
      </c>
      <c r="E46" s="163">
        <v>483</v>
      </c>
      <c r="F46" s="163">
        <v>345</v>
      </c>
      <c r="G46" s="163">
        <v>30</v>
      </c>
      <c r="H46" s="172" t="s">
        <v>939</v>
      </c>
      <c r="I46" s="163" t="s">
        <v>968</v>
      </c>
      <c r="J46" s="163"/>
      <c r="K46" s="159"/>
      <c r="L46" s="163"/>
      <c r="M46" s="159"/>
      <c r="N46" s="163"/>
      <c r="O46" s="159"/>
      <c r="P46" s="169" t="s">
        <v>980</v>
      </c>
      <c r="Q46" s="169" t="s">
        <v>994</v>
      </c>
    </row>
    <row r="47" spans="1:18" ht="24">
      <c r="A47" s="364"/>
      <c r="B47" s="159" t="s">
        <v>208</v>
      </c>
      <c r="C47" s="177" t="s">
        <v>1127</v>
      </c>
      <c r="D47" s="163" t="s">
        <v>966</v>
      </c>
      <c r="E47" s="163">
        <v>290</v>
      </c>
      <c r="F47" s="163">
        <v>285</v>
      </c>
      <c r="G47" s="163">
        <v>30</v>
      </c>
      <c r="H47" s="163" t="s">
        <v>939</v>
      </c>
      <c r="I47" s="163" t="s">
        <v>930</v>
      </c>
      <c r="J47" s="163"/>
      <c r="K47" s="159"/>
      <c r="L47" s="163"/>
      <c r="M47" s="159"/>
      <c r="N47" s="163"/>
      <c r="O47" s="159"/>
      <c r="P47" s="169" t="s">
        <v>1054</v>
      </c>
      <c r="Q47" s="169" t="s">
        <v>1069</v>
      </c>
    </row>
    <row r="48" spans="1:18" ht="24">
      <c r="A48" s="364"/>
      <c r="B48" s="159" t="s">
        <v>209</v>
      </c>
      <c r="C48" s="177">
        <v>18</v>
      </c>
      <c r="D48" s="163" t="s">
        <v>974</v>
      </c>
      <c r="E48" s="163">
        <v>450</v>
      </c>
      <c r="F48" s="163">
        <v>260</v>
      </c>
      <c r="G48" s="163">
        <v>35</v>
      </c>
      <c r="H48" s="163" t="s">
        <v>939</v>
      </c>
      <c r="I48" s="163" t="s">
        <v>968</v>
      </c>
      <c r="J48" s="163" t="s">
        <v>1216</v>
      </c>
      <c r="K48" s="163" t="s">
        <v>930</v>
      </c>
      <c r="L48" s="163"/>
      <c r="M48" s="159"/>
      <c r="N48" s="163"/>
      <c r="O48" s="159"/>
      <c r="P48" s="169" t="s">
        <v>1055</v>
      </c>
      <c r="Q48" s="169" t="s">
        <v>995</v>
      </c>
    </row>
    <row r="49" spans="1:17">
      <c r="A49" s="364"/>
      <c r="B49" s="159" t="s">
        <v>210</v>
      </c>
      <c r="C49" s="177" t="s">
        <v>1128</v>
      </c>
      <c r="D49" s="163" t="s">
        <v>966</v>
      </c>
      <c r="E49" s="163">
        <v>440</v>
      </c>
      <c r="F49" s="163">
        <v>200</v>
      </c>
      <c r="G49" s="163">
        <v>40</v>
      </c>
      <c r="H49" s="163"/>
      <c r="I49" s="163" t="s">
        <v>968</v>
      </c>
      <c r="J49" s="163"/>
      <c r="K49" s="159"/>
      <c r="L49" s="163"/>
      <c r="M49" s="159"/>
      <c r="N49" s="163"/>
      <c r="O49" s="159"/>
      <c r="P49" s="169" t="s">
        <v>968</v>
      </c>
      <c r="Q49" s="169" t="s">
        <v>996</v>
      </c>
    </row>
    <row r="50" spans="1:17">
      <c r="A50" s="364"/>
      <c r="B50" s="159" t="s">
        <v>211</v>
      </c>
      <c r="C50" s="177" t="s">
        <v>1129</v>
      </c>
      <c r="D50" s="163" t="s">
        <v>1068</v>
      </c>
      <c r="E50" s="163">
        <v>195</v>
      </c>
      <c r="F50" s="163">
        <v>215</v>
      </c>
      <c r="G50" s="163">
        <v>20</v>
      </c>
      <c r="H50" s="163"/>
      <c r="I50" s="163" t="s">
        <v>968</v>
      </c>
      <c r="J50" s="163"/>
      <c r="K50" s="159"/>
      <c r="L50" s="163"/>
      <c r="M50" s="159"/>
      <c r="N50" s="163"/>
      <c r="O50" s="159"/>
      <c r="P50" s="169" t="s">
        <v>968</v>
      </c>
      <c r="Q50" s="169" t="s">
        <v>997</v>
      </c>
    </row>
    <row r="51" spans="1:17">
      <c r="A51" s="364"/>
      <c r="B51" s="159" t="s">
        <v>212</v>
      </c>
      <c r="C51" s="177">
        <v>22</v>
      </c>
      <c r="D51" s="163" t="s">
        <v>966</v>
      </c>
      <c r="E51" s="163">
        <v>110</v>
      </c>
      <c r="F51" s="163">
        <v>160</v>
      </c>
      <c r="G51" s="163">
        <v>30</v>
      </c>
      <c r="H51" s="163"/>
      <c r="I51" s="163" t="s">
        <v>968</v>
      </c>
      <c r="J51" s="163"/>
      <c r="K51" s="159"/>
      <c r="L51" s="163"/>
      <c r="M51" s="159"/>
      <c r="N51" s="163"/>
      <c r="O51" s="159"/>
      <c r="P51" s="169" t="s">
        <v>968</v>
      </c>
      <c r="Q51" s="169" t="s">
        <v>998</v>
      </c>
    </row>
    <row r="52" spans="1:17">
      <c r="A52" s="364"/>
      <c r="B52" s="159" t="s">
        <v>213</v>
      </c>
      <c r="C52" s="177">
        <v>23</v>
      </c>
      <c r="D52" s="163" t="s">
        <v>975</v>
      </c>
      <c r="E52" s="163" t="s">
        <v>1082</v>
      </c>
      <c r="F52" s="163">
        <v>140</v>
      </c>
      <c r="G52" s="163">
        <v>10</v>
      </c>
      <c r="H52" s="163"/>
      <c r="I52" s="163" t="s">
        <v>968</v>
      </c>
      <c r="J52" s="163"/>
      <c r="K52" s="159"/>
      <c r="L52" s="163"/>
      <c r="M52" s="159"/>
      <c r="N52" s="163"/>
      <c r="O52" s="159"/>
      <c r="P52" s="169" t="s">
        <v>967</v>
      </c>
      <c r="Q52" s="169"/>
    </row>
    <row r="53" spans="1:17" ht="36">
      <c r="A53" s="364"/>
      <c r="B53" s="159" t="s">
        <v>214</v>
      </c>
      <c r="C53" s="177">
        <v>24</v>
      </c>
      <c r="D53" s="163" t="s">
        <v>966</v>
      </c>
      <c r="E53" s="163">
        <v>370</v>
      </c>
      <c r="F53" s="163">
        <v>270</v>
      </c>
      <c r="G53" s="163">
        <v>35</v>
      </c>
      <c r="H53" s="172" t="s">
        <v>937</v>
      </c>
      <c r="I53" s="163" t="s">
        <v>968</v>
      </c>
      <c r="J53" s="163" t="s">
        <v>971</v>
      </c>
      <c r="K53" s="159"/>
      <c r="L53" s="163" t="s">
        <v>967</v>
      </c>
      <c r="M53" s="159"/>
      <c r="N53" s="163" t="s">
        <v>967</v>
      </c>
      <c r="O53" s="159"/>
      <c r="P53" s="169" t="s">
        <v>1056</v>
      </c>
      <c r="Q53" s="169" t="s">
        <v>999</v>
      </c>
    </row>
    <row r="54" spans="1:17">
      <c r="A54" s="364"/>
      <c r="B54" s="159" t="s">
        <v>215</v>
      </c>
      <c r="C54" s="177" t="s">
        <v>1130</v>
      </c>
      <c r="D54" s="163" t="s">
        <v>966</v>
      </c>
      <c r="E54" s="163">
        <v>540</v>
      </c>
      <c r="F54" s="163">
        <v>480</v>
      </c>
      <c r="G54" s="163">
        <v>36</v>
      </c>
      <c r="H54" s="163" t="s">
        <v>968</v>
      </c>
      <c r="I54" s="163" t="s">
        <v>968</v>
      </c>
      <c r="J54" s="163" t="s">
        <v>971</v>
      </c>
      <c r="K54" s="159"/>
      <c r="L54" s="163" t="s">
        <v>968</v>
      </c>
      <c r="M54" s="159"/>
      <c r="N54" s="163" t="s">
        <v>968</v>
      </c>
      <c r="O54" s="159"/>
      <c r="P54" s="169" t="s">
        <v>984</v>
      </c>
      <c r="Q54" s="169" t="s">
        <v>1000</v>
      </c>
    </row>
    <row r="55" spans="1:17" ht="24">
      <c r="A55" s="364"/>
      <c r="B55" s="159" t="s">
        <v>216</v>
      </c>
      <c r="C55" s="177">
        <v>25</v>
      </c>
      <c r="D55" s="163" t="s">
        <v>966</v>
      </c>
      <c r="E55" s="163">
        <v>290</v>
      </c>
      <c r="F55" s="163">
        <v>180</v>
      </c>
      <c r="G55" s="163">
        <v>12</v>
      </c>
      <c r="H55" s="172" t="s">
        <v>937</v>
      </c>
      <c r="I55" s="163" t="s">
        <v>968</v>
      </c>
      <c r="J55" s="163"/>
      <c r="K55" s="159"/>
      <c r="L55" s="163" t="s">
        <v>930</v>
      </c>
      <c r="M55" s="159"/>
      <c r="N55" s="163"/>
      <c r="O55" s="159"/>
      <c r="P55" s="169" t="s">
        <v>1055</v>
      </c>
      <c r="Q55" s="169" t="s">
        <v>1226</v>
      </c>
    </row>
    <row r="56" spans="1:17">
      <c r="A56" s="364"/>
      <c r="B56" s="159" t="s">
        <v>217</v>
      </c>
      <c r="C56" s="177">
        <v>26</v>
      </c>
      <c r="D56" s="163" t="s">
        <v>966</v>
      </c>
      <c r="E56" s="163">
        <v>440</v>
      </c>
      <c r="F56" s="163">
        <v>200</v>
      </c>
      <c r="G56" s="163">
        <v>25</v>
      </c>
      <c r="H56" s="163"/>
      <c r="I56" s="163" t="s">
        <v>968</v>
      </c>
      <c r="J56" s="163"/>
      <c r="K56" s="159"/>
      <c r="L56" s="163"/>
      <c r="M56" s="159"/>
      <c r="N56" s="163"/>
      <c r="O56" s="159"/>
      <c r="P56" s="169" t="s">
        <v>968</v>
      </c>
      <c r="Q56" s="169" t="s">
        <v>1001</v>
      </c>
    </row>
    <row r="57" spans="1:17" ht="24">
      <c r="A57" s="364"/>
      <c r="B57" s="159" t="s">
        <v>218</v>
      </c>
      <c r="C57" s="177">
        <v>27</v>
      </c>
      <c r="D57" s="163" t="s">
        <v>966</v>
      </c>
      <c r="E57" s="163">
        <v>250</v>
      </c>
      <c r="F57" s="163">
        <v>180</v>
      </c>
      <c r="G57" s="163">
        <v>45</v>
      </c>
      <c r="H57" s="163"/>
      <c r="I57" s="163" t="s">
        <v>968</v>
      </c>
      <c r="J57" s="163"/>
      <c r="K57" s="159"/>
      <c r="L57" s="163"/>
      <c r="M57" s="159"/>
      <c r="N57" s="163"/>
      <c r="O57" s="159"/>
      <c r="P57" s="169" t="s">
        <v>968</v>
      </c>
      <c r="Q57" s="169" t="s">
        <v>1002</v>
      </c>
    </row>
    <row r="58" spans="1:17" ht="36">
      <c r="A58" s="364"/>
      <c r="B58" s="159" t="s">
        <v>219</v>
      </c>
      <c r="C58" s="177">
        <v>28</v>
      </c>
      <c r="D58" s="163" t="s">
        <v>966</v>
      </c>
      <c r="E58" s="163">
        <v>490</v>
      </c>
      <c r="F58" s="163">
        <v>145</v>
      </c>
      <c r="G58" s="163">
        <v>22</v>
      </c>
      <c r="H58" s="172" t="s">
        <v>937</v>
      </c>
      <c r="I58" s="163" t="s">
        <v>968</v>
      </c>
      <c r="J58" s="163"/>
      <c r="K58" s="159"/>
      <c r="L58" s="163"/>
      <c r="M58" s="159"/>
      <c r="N58" s="163"/>
      <c r="O58" s="159"/>
      <c r="P58" s="169" t="s">
        <v>968</v>
      </c>
      <c r="Q58" s="169" t="s">
        <v>1003</v>
      </c>
    </row>
    <row r="59" spans="1:17" ht="24">
      <c r="A59" s="364"/>
      <c r="B59" s="159" t="s">
        <v>220</v>
      </c>
      <c r="C59" s="177">
        <v>29</v>
      </c>
      <c r="D59" s="163" t="s">
        <v>966</v>
      </c>
      <c r="E59" s="163">
        <v>280</v>
      </c>
      <c r="F59" s="163">
        <v>90</v>
      </c>
      <c r="G59" s="163">
        <v>14</v>
      </c>
      <c r="H59" s="163"/>
      <c r="I59" s="163" t="s">
        <v>968</v>
      </c>
      <c r="J59" s="163"/>
      <c r="K59" s="159"/>
      <c r="L59" s="163"/>
      <c r="M59" s="159"/>
      <c r="N59" s="163"/>
      <c r="O59" s="159"/>
      <c r="P59" s="169" t="s">
        <v>1049</v>
      </c>
      <c r="Q59" s="169" t="s">
        <v>1004</v>
      </c>
    </row>
    <row r="60" spans="1:17" ht="36">
      <c r="A60" s="364"/>
      <c r="B60" s="159" t="s">
        <v>221</v>
      </c>
      <c r="C60" s="177">
        <v>30</v>
      </c>
      <c r="D60" s="163" t="s">
        <v>966</v>
      </c>
      <c r="E60" s="163">
        <v>490</v>
      </c>
      <c r="F60" s="163">
        <v>320</v>
      </c>
      <c r="G60" s="163">
        <v>45</v>
      </c>
      <c r="H60" s="163" t="s">
        <v>930</v>
      </c>
      <c r="I60" s="163" t="s">
        <v>968</v>
      </c>
      <c r="J60" s="163"/>
      <c r="K60" s="159"/>
      <c r="L60" s="163" t="s">
        <v>930</v>
      </c>
      <c r="M60" s="159"/>
      <c r="N60" s="163"/>
      <c r="O60" s="159"/>
      <c r="P60" s="169" t="s">
        <v>1057</v>
      </c>
      <c r="Q60" s="169" t="s">
        <v>1005</v>
      </c>
    </row>
    <row r="61" spans="1:17" ht="24">
      <c r="A61" s="364"/>
      <c r="B61" s="159" t="s">
        <v>222</v>
      </c>
      <c r="C61" s="177" t="s">
        <v>1131</v>
      </c>
      <c r="D61" s="163" t="s">
        <v>966</v>
      </c>
      <c r="E61" s="163">
        <v>380</v>
      </c>
      <c r="F61" s="163">
        <v>140</v>
      </c>
      <c r="G61" s="163">
        <v>4</v>
      </c>
      <c r="H61" s="163"/>
      <c r="I61" s="163" t="s">
        <v>968</v>
      </c>
      <c r="J61" s="163" t="s">
        <v>973</v>
      </c>
      <c r="K61" s="159"/>
      <c r="L61" s="163"/>
      <c r="M61" s="159"/>
      <c r="N61" s="163"/>
      <c r="O61" s="159"/>
      <c r="P61" s="169" t="s">
        <v>968</v>
      </c>
      <c r="Q61" s="169" t="s">
        <v>1006</v>
      </c>
    </row>
    <row r="62" spans="1:17" ht="24">
      <c r="A62" s="364"/>
      <c r="B62" s="159" t="s">
        <v>223</v>
      </c>
      <c r="C62" s="177">
        <v>32</v>
      </c>
      <c r="D62" s="163" t="s">
        <v>970</v>
      </c>
      <c r="E62" s="163">
        <v>470</v>
      </c>
      <c r="F62" s="163">
        <v>400</v>
      </c>
      <c r="G62" s="163">
        <v>38</v>
      </c>
      <c r="H62" s="163"/>
      <c r="I62" s="163" t="s">
        <v>968</v>
      </c>
      <c r="J62" s="163" t="s">
        <v>973</v>
      </c>
      <c r="K62" s="159"/>
      <c r="L62" s="163" t="s">
        <v>931</v>
      </c>
      <c r="M62" s="159"/>
      <c r="N62" s="163"/>
      <c r="O62" s="159"/>
      <c r="P62" s="169" t="s">
        <v>1058</v>
      </c>
      <c r="Q62" s="169" t="s">
        <v>1007</v>
      </c>
    </row>
    <row r="63" spans="1:17" ht="24">
      <c r="A63" s="364"/>
      <c r="B63" s="159" t="s">
        <v>224</v>
      </c>
      <c r="C63" s="177">
        <v>33</v>
      </c>
      <c r="D63" s="163" t="s">
        <v>970</v>
      </c>
      <c r="E63" s="163">
        <v>419</v>
      </c>
      <c r="F63" s="163">
        <v>370</v>
      </c>
      <c r="G63" s="163">
        <v>23</v>
      </c>
      <c r="H63" s="163" t="s">
        <v>1227</v>
      </c>
      <c r="I63" s="163" t="s">
        <v>930</v>
      </c>
      <c r="J63" s="163"/>
      <c r="K63" s="159"/>
      <c r="L63" s="163"/>
      <c r="M63" s="159"/>
      <c r="N63" s="163"/>
      <c r="O63" s="159"/>
      <c r="P63" s="169" t="s">
        <v>1059</v>
      </c>
      <c r="Q63" s="169" t="s">
        <v>1008</v>
      </c>
    </row>
    <row r="64" spans="1:17" ht="24">
      <c r="A64" s="364"/>
      <c r="B64" s="159" t="s">
        <v>225</v>
      </c>
      <c r="C64" s="177" t="s">
        <v>1132</v>
      </c>
      <c r="D64" s="163" t="s">
        <v>976</v>
      </c>
      <c r="E64" s="163">
        <v>440</v>
      </c>
      <c r="F64" s="163">
        <v>300</v>
      </c>
      <c r="G64" s="163">
        <v>60</v>
      </c>
      <c r="H64" s="172" t="s">
        <v>939</v>
      </c>
      <c r="I64" s="163" t="s">
        <v>930</v>
      </c>
      <c r="J64" s="163" t="s">
        <v>971</v>
      </c>
      <c r="K64" s="159"/>
      <c r="L64" s="163" t="s">
        <v>931</v>
      </c>
      <c r="M64" s="159"/>
      <c r="N64" s="163"/>
      <c r="O64" s="159"/>
      <c r="P64" s="169" t="s">
        <v>1049</v>
      </c>
      <c r="Q64" s="169" t="s">
        <v>1009</v>
      </c>
    </row>
    <row r="65" spans="1:17" ht="36">
      <c r="A65" s="364"/>
      <c r="B65" s="159" t="s">
        <v>226</v>
      </c>
      <c r="C65" s="177" t="s">
        <v>1133</v>
      </c>
      <c r="D65" s="163" t="s">
        <v>970</v>
      </c>
      <c r="E65" s="163">
        <v>420</v>
      </c>
      <c r="F65" s="163">
        <v>340</v>
      </c>
      <c r="G65" s="163">
        <v>40</v>
      </c>
      <c r="H65" s="159" t="s">
        <v>939</v>
      </c>
      <c r="I65" s="163" t="s">
        <v>968</v>
      </c>
      <c r="J65" s="163" t="s">
        <v>971</v>
      </c>
      <c r="K65" s="159"/>
      <c r="L65" s="163" t="s">
        <v>931</v>
      </c>
      <c r="M65" s="159"/>
      <c r="N65" s="163" t="s">
        <v>1222</v>
      </c>
      <c r="O65" s="159"/>
      <c r="P65" s="169" t="s">
        <v>967</v>
      </c>
      <c r="Q65" s="169" t="s">
        <v>1010</v>
      </c>
    </row>
    <row r="66" spans="1:17" ht="36">
      <c r="A66" s="364"/>
      <c r="B66" s="159" t="s">
        <v>227</v>
      </c>
      <c r="C66" s="177" t="s">
        <v>1134</v>
      </c>
      <c r="D66" s="163" t="s">
        <v>977</v>
      </c>
      <c r="E66" s="163">
        <v>380</v>
      </c>
      <c r="F66" s="163">
        <v>170</v>
      </c>
      <c r="G66" s="163">
        <v>28</v>
      </c>
      <c r="H66" s="163"/>
      <c r="I66" s="163" t="s">
        <v>968</v>
      </c>
      <c r="J66" s="163" t="s">
        <v>971</v>
      </c>
      <c r="K66" s="159"/>
      <c r="L66" s="163"/>
      <c r="M66" s="159"/>
      <c r="N66" s="163"/>
      <c r="O66" s="159"/>
      <c r="P66" s="169" t="s">
        <v>1070</v>
      </c>
      <c r="Q66" s="169" t="s">
        <v>1011</v>
      </c>
    </row>
    <row r="67" spans="1:17" ht="24">
      <c r="A67" s="364"/>
      <c r="B67" s="159" t="s">
        <v>228</v>
      </c>
      <c r="C67" s="177" t="s">
        <v>1135</v>
      </c>
      <c r="D67" s="163" t="s">
        <v>966</v>
      </c>
      <c r="E67" s="163">
        <v>490</v>
      </c>
      <c r="F67" s="163">
        <v>100</v>
      </c>
      <c r="G67" s="163">
        <v>32</v>
      </c>
      <c r="H67" s="163"/>
      <c r="I67" s="163" t="s">
        <v>968</v>
      </c>
      <c r="J67" s="163" t="s">
        <v>973</v>
      </c>
      <c r="K67" s="159"/>
      <c r="L67" s="163"/>
      <c r="M67" s="159"/>
      <c r="N67" s="163"/>
      <c r="O67" s="159"/>
      <c r="P67" s="169" t="s">
        <v>1060</v>
      </c>
      <c r="Q67" s="169" t="s">
        <v>1012</v>
      </c>
    </row>
    <row r="68" spans="1:17" ht="24">
      <c r="A68" s="364"/>
      <c r="B68" s="159" t="s">
        <v>229</v>
      </c>
      <c r="C68" s="177">
        <v>45</v>
      </c>
      <c r="D68" s="163" t="s">
        <v>978</v>
      </c>
      <c r="E68" s="163">
        <v>160</v>
      </c>
      <c r="F68" s="163">
        <v>150</v>
      </c>
      <c r="G68" s="163">
        <v>11</v>
      </c>
      <c r="H68" s="163"/>
      <c r="I68" s="163" t="s">
        <v>968</v>
      </c>
      <c r="J68" s="163"/>
      <c r="K68" s="159"/>
      <c r="L68" s="163"/>
      <c r="M68" s="159"/>
      <c r="N68" s="163"/>
      <c r="O68" s="159"/>
      <c r="P68" s="169"/>
      <c r="Q68" s="169" t="s">
        <v>1229</v>
      </c>
    </row>
    <row r="69" spans="1:17" ht="24">
      <c r="A69" s="364"/>
      <c r="B69" s="159" t="s">
        <v>230</v>
      </c>
      <c r="C69" s="177">
        <v>46</v>
      </c>
      <c r="D69" s="163" t="s">
        <v>966</v>
      </c>
      <c r="E69" s="163">
        <v>374</v>
      </c>
      <c r="F69" s="163">
        <v>200</v>
      </c>
      <c r="G69" s="163">
        <v>15</v>
      </c>
      <c r="H69" s="163"/>
      <c r="I69" s="163" t="s">
        <v>968</v>
      </c>
      <c r="J69" s="163"/>
      <c r="K69" s="159"/>
      <c r="L69" s="163"/>
      <c r="M69" s="159"/>
      <c r="N69" s="163"/>
      <c r="O69" s="159"/>
      <c r="P69" s="169"/>
      <c r="Q69" s="169" t="s">
        <v>1013</v>
      </c>
    </row>
    <row r="70" spans="1:17">
      <c r="A70" s="364"/>
      <c r="B70" s="159" t="s">
        <v>231</v>
      </c>
      <c r="C70" s="177">
        <v>48</v>
      </c>
      <c r="D70" s="163" t="s">
        <v>966</v>
      </c>
      <c r="E70" s="163">
        <v>310</v>
      </c>
      <c r="F70" s="163">
        <v>90</v>
      </c>
      <c r="G70" s="163">
        <v>15</v>
      </c>
      <c r="H70" s="163"/>
      <c r="I70" s="163"/>
      <c r="J70" s="163"/>
      <c r="K70" s="159"/>
      <c r="L70" s="163"/>
      <c r="M70" s="159"/>
      <c r="N70" s="163"/>
      <c r="O70" s="159"/>
      <c r="P70" s="169" t="s">
        <v>1049</v>
      </c>
      <c r="Q70" s="169" t="s">
        <v>1014</v>
      </c>
    </row>
    <row r="71" spans="1:17">
      <c r="A71" s="364"/>
      <c r="B71" s="159" t="s">
        <v>232</v>
      </c>
      <c r="C71" s="177">
        <v>49</v>
      </c>
      <c r="D71" s="163" t="s">
        <v>1228</v>
      </c>
      <c r="E71" s="163">
        <v>320</v>
      </c>
      <c r="F71" s="163">
        <v>185</v>
      </c>
      <c r="G71" s="163">
        <v>35</v>
      </c>
      <c r="H71" s="163"/>
      <c r="I71" s="163" t="s">
        <v>968</v>
      </c>
      <c r="J71" s="163"/>
      <c r="K71" s="159"/>
      <c r="L71" s="163"/>
      <c r="M71" s="159"/>
      <c r="N71" s="163"/>
      <c r="O71" s="159"/>
      <c r="P71" s="169"/>
      <c r="Q71" s="169" t="s">
        <v>1230</v>
      </c>
    </row>
    <row r="72" spans="1:17">
      <c r="A72" s="364"/>
      <c r="B72" s="159" t="s">
        <v>233</v>
      </c>
      <c r="C72" s="177">
        <v>50</v>
      </c>
      <c r="D72" s="163" t="s">
        <v>913</v>
      </c>
      <c r="E72" s="163">
        <v>620</v>
      </c>
      <c r="F72" s="163">
        <v>520</v>
      </c>
      <c r="G72" s="163">
        <v>20</v>
      </c>
      <c r="H72" s="163"/>
      <c r="I72" s="163" t="s">
        <v>968</v>
      </c>
      <c r="J72" s="163"/>
      <c r="K72" s="159"/>
      <c r="L72" s="163"/>
      <c r="M72" s="159"/>
      <c r="N72" s="163"/>
      <c r="O72" s="159"/>
      <c r="P72" s="169" t="s">
        <v>1049</v>
      </c>
      <c r="Q72" s="169" t="s">
        <v>1015</v>
      </c>
    </row>
    <row r="73" spans="1:17">
      <c r="A73" s="364"/>
      <c r="B73" s="159" t="s">
        <v>234</v>
      </c>
      <c r="C73" s="177">
        <v>54</v>
      </c>
      <c r="D73" s="163" t="s">
        <v>966</v>
      </c>
      <c r="E73" s="163">
        <v>240</v>
      </c>
      <c r="F73" s="163">
        <v>120</v>
      </c>
      <c r="G73" s="163">
        <v>20</v>
      </c>
      <c r="H73" s="163"/>
      <c r="I73" s="163" t="s">
        <v>968</v>
      </c>
      <c r="J73" s="163"/>
      <c r="K73" s="159"/>
      <c r="L73" s="163"/>
      <c r="M73" s="159"/>
      <c r="N73" s="163"/>
      <c r="O73" s="159"/>
      <c r="P73" s="169" t="s">
        <v>1049</v>
      </c>
      <c r="Q73" s="169"/>
    </row>
    <row r="74" spans="1:17" ht="16.5" customHeight="1">
      <c r="A74" s="364"/>
      <c r="B74" s="159" t="s">
        <v>235</v>
      </c>
      <c r="C74" s="177">
        <v>55</v>
      </c>
      <c r="D74" s="163" t="s">
        <v>966</v>
      </c>
      <c r="E74" s="163">
        <v>490</v>
      </c>
      <c r="F74" s="163">
        <v>180</v>
      </c>
      <c r="G74" s="163">
        <v>15</v>
      </c>
      <c r="H74" s="159" t="s">
        <v>931</v>
      </c>
      <c r="I74" s="159" t="s">
        <v>968</v>
      </c>
      <c r="J74" s="163"/>
      <c r="K74" s="159"/>
      <c r="L74" s="163"/>
      <c r="M74" s="159"/>
      <c r="N74" s="163"/>
      <c r="O74" s="159" t="s">
        <v>937</v>
      </c>
      <c r="P74" s="169" t="s">
        <v>1049</v>
      </c>
      <c r="Q74" s="169" t="s">
        <v>1231</v>
      </c>
    </row>
    <row r="75" spans="1:17" ht="36">
      <c r="A75" s="364"/>
      <c r="B75" s="159" t="s">
        <v>236</v>
      </c>
      <c r="C75" s="177" t="s">
        <v>1136</v>
      </c>
      <c r="D75" s="163" t="s">
        <v>966</v>
      </c>
      <c r="E75" s="163">
        <v>330</v>
      </c>
      <c r="F75" s="163">
        <v>110</v>
      </c>
      <c r="G75" s="163">
        <v>24</v>
      </c>
      <c r="H75" s="173" t="s">
        <v>939</v>
      </c>
      <c r="I75" s="159" t="s">
        <v>968</v>
      </c>
      <c r="J75" s="163"/>
      <c r="K75" s="159"/>
      <c r="L75" s="163" t="s">
        <v>930</v>
      </c>
      <c r="M75" s="159"/>
      <c r="N75" s="163"/>
      <c r="O75" s="159" t="s">
        <v>937</v>
      </c>
      <c r="P75" s="169" t="s">
        <v>1049</v>
      </c>
      <c r="Q75" s="169" t="s">
        <v>1232</v>
      </c>
    </row>
    <row r="76" spans="1:17" ht="24">
      <c r="A76" s="364"/>
      <c r="B76" s="159" t="s">
        <v>237</v>
      </c>
      <c r="C76" s="177" t="s">
        <v>1137</v>
      </c>
      <c r="D76" s="163" t="s">
        <v>966</v>
      </c>
      <c r="E76" s="163">
        <v>360</v>
      </c>
      <c r="F76" s="163">
        <v>185</v>
      </c>
      <c r="G76" s="163">
        <v>38</v>
      </c>
      <c r="H76" s="159"/>
      <c r="I76" s="159" t="s">
        <v>968</v>
      </c>
      <c r="J76" s="163" t="s">
        <v>972</v>
      </c>
      <c r="K76" s="159"/>
      <c r="L76" s="163"/>
      <c r="M76" s="159"/>
      <c r="N76" s="163"/>
      <c r="O76" s="159"/>
      <c r="P76" s="169" t="s">
        <v>1061</v>
      </c>
      <c r="Q76" s="169" t="s">
        <v>1016</v>
      </c>
    </row>
    <row r="77" spans="1:17" ht="24">
      <c r="A77" s="364"/>
      <c r="B77" s="159" t="s">
        <v>238</v>
      </c>
      <c r="C77" s="177">
        <v>61</v>
      </c>
      <c r="D77" s="163" t="s">
        <v>966</v>
      </c>
      <c r="E77" s="163">
        <v>510</v>
      </c>
      <c r="F77" s="163">
        <v>225</v>
      </c>
      <c r="G77" s="163">
        <v>40</v>
      </c>
      <c r="H77" s="159"/>
      <c r="I77" s="159" t="s">
        <v>930</v>
      </c>
      <c r="J77" s="163" t="s">
        <v>971</v>
      </c>
      <c r="K77" s="159"/>
      <c r="L77" s="163" t="s">
        <v>931</v>
      </c>
      <c r="M77" s="159"/>
      <c r="N77" s="163"/>
      <c r="O77" s="159"/>
      <c r="P77" s="169"/>
      <c r="Q77" s="169" t="s">
        <v>1017</v>
      </c>
    </row>
    <row r="78" spans="1:17">
      <c r="A78" s="364"/>
      <c r="B78" s="159" t="s">
        <v>239</v>
      </c>
      <c r="C78" s="177">
        <v>62</v>
      </c>
      <c r="D78" s="163" t="s">
        <v>970</v>
      </c>
      <c r="E78" s="163">
        <v>240</v>
      </c>
      <c r="F78" s="163">
        <v>50</v>
      </c>
      <c r="G78" s="163">
        <v>16</v>
      </c>
      <c r="H78" s="159"/>
      <c r="I78" s="159" t="s">
        <v>968</v>
      </c>
      <c r="J78" s="163" t="s">
        <v>973</v>
      </c>
      <c r="K78" s="159"/>
      <c r="L78" s="163"/>
      <c r="M78" s="159"/>
      <c r="N78" s="163"/>
      <c r="O78" s="159"/>
      <c r="P78" s="169" t="s">
        <v>968</v>
      </c>
      <c r="Q78" s="169" t="s">
        <v>851</v>
      </c>
    </row>
    <row r="79" spans="1:17">
      <c r="A79" s="364"/>
      <c r="B79" s="159" t="s">
        <v>240</v>
      </c>
      <c r="C79" s="177">
        <v>63</v>
      </c>
      <c r="D79" s="163" t="s">
        <v>970</v>
      </c>
      <c r="E79" s="163">
        <v>255</v>
      </c>
      <c r="F79" s="163">
        <v>110</v>
      </c>
      <c r="G79" s="163">
        <v>30</v>
      </c>
      <c r="H79" s="159"/>
      <c r="I79" s="159" t="s">
        <v>968</v>
      </c>
      <c r="J79" s="163"/>
      <c r="K79" s="159"/>
      <c r="L79" s="163"/>
      <c r="M79" s="159"/>
      <c r="N79" s="163"/>
      <c r="O79" s="159"/>
      <c r="P79" s="169" t="s">
        <v>968</v>
      </c>
      <c r="Q79" s="169"/>
    </row>
    <row r="80" spans="1:17" ht="36">
      <c r="A80" s="364"/>
      <c r="B80" s="159" t="s">
        <v>241</v>
      </c>
      <c r="C80" s="177" t="s">
        <v>1138</v>
      </c>
      <c r="D80" s="163" t="s">
        <v>966</v>
      </c>
      <c r="E80" s="163">
        <v>450</v>
      </c>
      <c r="F80" s="163">
        <v>300</v>
      </c>
      <c r="G80" s="163">
        <v>40</v>
      </c>
      <c r="H80" s="159"/>
      <c r="I80" s="159" t="s">
        <v>937</v>
      </c>
      <c r="J80" s="163"/>
      <c r="K80" s="159"/>
      <c r="L80" s="163" t="s">
        <v>931</v>
      </c>
      <c r="M80" s="159"/>
      <c r="N80" s="163"/>
      <c r="O80" s="159"/>
      <c r="P80" s="169" t="s">
        <v>968</v>
      </c>
      <c r="Q80" s="169" t="s">
        <v>1018</v>
      </c>
    </row>
    <row r="81" spans="1:17" ht="24">
      <c r="A81" s="364"/>
      <c r="B81" s="159" t="s">
        <v>242</v>
      </c>
      <c r="C81" s="177" t="s">
        <v>1139</v>
      </c>
      <c r="D81" s="163" t="s">
        <v>966</v>
      </c>
      <c r="E81" s="163">
        <v>350</v>
      </c>
      <c r="F81" s="163">
        <v>240</v>
      </c>
      <c r="G81" s="163">
        <v>18</v>
      </c>
      <c r="H81" s="163"/>
      <c r="I81" s="163" t="s">
        <v>968</v>
      </c>
      <c r="J81" s="163" t="s">
        <v>1215</v>
      </c>
      <c r="K81" s="159"/>
      <c r="L81" s="163"/>
      <c r="M81" s="159"/>
      <c r="N81" s="163"/>
      <c r="O81" s="159"/>
      <c r="P81" s="169" t="s">
        <v>935</v>
      </c>
      <c r="Q81" s="169" t="s">
        <v>1019</v>
      </c>
    </row>
    <row r="82" spans="1:17">
      <c r="A82" s="364"/>
      <c r="B82" s="159" t="s">
        <v>243</v>
      </c>
      <c r="C82" s="177">
        <v>67</v>
      </c>
      <c r="D82" s="163" t="s">
        <v>970</v>
      </c>
      <c r="E82" s="163">
        <v>285</v>
      </c>
      <c r="F82" s="163">
        <v>180</v>
      </c>
      <c r="G82" s="163">
        <v>35</v>
      </c>
      <c r="H82" s="163"/>
      <c r="I82" s="163" t="s">
        <v>968</v>
      </c>
      <c r="J82" s="163"/>
      <c r="K82" s="159"/>
      <c r="L82" s="163"/>
      <c r="M82" s="159"/>
      <c r="N82" s="163"/>
      <c r="O82" s="159"/>
      <c r="P82" s="169"/>
      <c r="Q82" s="169"/>
    </row>
    <row r="83" spans="1:17">
      <c r="A83" s="364"/>
      <c r="B83" s="159" t="s">
        <v>244</v>
      </c>
      <c r="C83" s="177">
        <v>68</v>
      </c>
      <c r="D83" s="163" t="s">
        <v>966</v>
      </c>
      <c r="E83" s="163">
        <v>370</v>
      </c>
      <c r="F83" s="163">
        <v>180</v>
      </c>
      <c r="G83" s="163">
        <v>30</v>
      </c>
      <c r="H83" s="163"/>
      <c r="I83" s="163" t="s">
        <v>968</v>
      </c>
      <c r="J83" s="163"/>
      <c r="K83" s="159"/>
      <c r="L83" s="163"/>
      <c r="M83" s="159"/>
      <c r="N83" s="163"/>
      <c r="O83" s="159"/>
      <c r="P83" s="169" t="s">
        <v>968</v>
      </c>
      <c r="Q83" s="169"/>
    </row>
    <row r="84" spans="1:17">
      <c r="A84" s="364"/>
      <c r="B84" s="159" t="s">
        <v>245</v>
      </c>
      <c r="C84" s="177">
        <v>69</v>
      </c>
      <c r="D84" s="163" t="s">
        <v>966</v>
      </c>
      <c r="E84" s="163">
        <v>390</v>
      </c>
      <c r="F84" s="163">
        <v>240</v>
      </c>
      <c r="G84" s="163">
        <v>35</v>
      </c>
      <c r="H84" s="163"/>
      <c r="I84" s="163" t="s">
        <v>968</v>
      </c>
      <c r="J84" s="163" t="s">
        <v>972</v>
      </c>
      <c r="K84" s="159"/>
      <c r="L84" s="163" t="s">
        <v>931</v>
      </c>
      <c r="M84" s="159"/>
      <c r="N84" s="163"/>
      <c r="O84" s="159"/>
      <c r="P84" s="169" t="s">
        <v>935</v>
      </c>
      <c r="Q84" s="169" t="s">
        <v>1233</v>
      </c>
    </row>
    <row r="85" spans="1:17">
      <c r="A85" s="364"/>
      <c r="B85" s="159" t="s">
        <v>246</v>
      </c>
      <c r="C85" s="177">
        <v>71</v>
      </c>
      <c r="D85" s="163" t="s">
        <v>966</v>
      </c>
      <c r="E85" s="163">
        <v>280</v>
      </c>
      <c r="F85" s="163">
        <v>125</v>
      </c>
      <c r="G85" s="163">
        <v>38</v>
      </c>
      <c r="H85" s="163"/>
      <c r="I85" s="163" t="s">
        <v>968</v>
      </c>
      <c r="J85" s="163"/>
      <c r="K85" s="159"/>
      <c r="L85" s="163"/>
      <c r="M85" s="159"/>
      <c r="N85" s="163"/>
      <c r="O85" s="159"/>
      <c r="P85" s="169"/>
      <c r="Q85" s="169"/>
    </row>
    <row r="86" spans="1:17">
      <c r="A86" s="364"/>
      <c r="B86" s="159" t="s">
        <v>247</v>
      </c>
      <c r="C86" s="177">
        <v>74</v>
      </c>
      <c r="D86" s="163" t="s">
        <v>966</v>
      </c>
      <c r="E86" s="163">
        <v>425</v>
      </c>
      <c r="F86" s="163">
        <v>150</v>
      </c>
      <c r="G86" s="163">
        <v>58</v>
      </c>
      <c r="H86" s="163"/>
      <c r="I86" s="163" t="s">
        <v>968</v>
      </c>
      <c r="J86" s="163"/>
      <c r="K86" s="159"/>
      <c r="L86" s="163"/>
      <c r="M86" s="159"/>
      <c r="N86" s="163"/>
      <c r="O86" s="159"/>
      <c r="P86" s="169" t="s">
        <v>968</v>
      </c>
      <c r="Q86" s="169"/>
    </row>
    <row r="87" spans="1:17" ht="24">
      <c r="A87" s="364"/>
      <c r="B87" s="159" t="s">
        <v>248</v>
      </c>
      <c r="C87" s="177">
        <v>75</v>
      </c>
      <c r="D87" s="163" t="s">
        <v>970</v>
      </c>
      <c r="E87" s="163">
        <v>460</v>
      </c>
      <c r="F87" s="163">
        <v>220</v>
      </c>
      <c r="G87" s="163">
        <v>30</v>
      </c>
      <c r="H87" s="163"/>
      <c r="I87" s="163" t="s">
        <v>968</v>
      </c>
      <c r="J87" s="163"/>
      <c r="K87" s="159"/>
      <c r="L87" s="163" t="s">
        <v>931</v>
      </c>
      <c r="M87" s="159"/>
      <c r="N87" s="163"/>
      <c r="O87" s="159"/>
      <c r="P87" s="169" t="s">
        <v>968</v>
      </c>
      <c r="Q87" s="169" t="s">
        <v>1020</v>
      </c>
    </row>
    <row r="88" spans="1:17">
      <c r="A88" s="364"/>
      <c r="B88" s="159" t="s">
        <v>249</v>
      </c>
      <c r="C88" s="177">
        <v>76</v>
      </c>
      <c r="D88" s="163" t="s">
        <v>966</v>
      </c>
      <c r="E88" s="163">
        <v>350</v>
      </c>
      <c r="F88" s="163">
        <v>120</v>
      </c>
      <c r="G88" s="163">
        <v>25</v>
      </c>
      <c r="H88" s="163"/>
      <c r="I88" s="163" t="s">
        <v>968</v>
      </c>
      <c r="J88" s="163" t="s">
        <v>973</v>
      </c>
      <c r="K88" s="159"/>
      <c r="L88" s="163" t="s">
        <v>931</v>
      </c>
      <c r="M88" s="159"/>
      <c r="N88" s="163"/>
      <c r="O88" s="159"/>
      <c r="P88" s="169" t="s">
        <v>968</v>
      </c>
      <c r="Q88" s="169" t="s">
        <v>1021</v>
      </c>
    </row>
    <row r="89" spans="1:17" ht="15.75" customHeight="1">
      <c r="A89" s="364"/>
      <c r="B89" s="159" t="s">
        <v>250</v>
      </c>
      <c r="C89" s="177">
        <v>79</v>
      </c>
      <c r="D89" s="163" t="s">
        <v>966</v>
      </c>
      <c r="E89" s="163">
        <v>390</v>
      </c>
      <c r="F89" s="163">
        <v>190</v>
      </c>
      <c r="G89" s="163">
        <v>30</v>
      </c>
      <c r="H89" s="163"/>
      <c r="I89" s="163" t="s">
        <v>930</v>
      </c>
      <c r="J89" s="163"/>
      <c r="K89" s="159"/>
      <c r="L89" s="163" t="s">
        <v>931</v>
      </c>
      <c r="M89" s="159"/>
      <c r="N89" s="163"/>
      <c r="O89" s="159"/>
      <c r="P89" s="169" t="s">
        <v>1048</v>
      </c>
      <c r="Q89" s="169" t="s">
        <v>1022</v>
      </c>
    </row>
    <row r="90" spans="1:17" ht="24">
      <c r="A90" s="364"/>
      <c r="B90" s="159" t="s">
        <v>251</v>
      </c>
      <c r="C90" s="177">
        <v>81</v>
      </c>
      <c r="D90" s="163" t="s">
        <v>954</v>
      </c>
      <c r="E90" s="163">
        <v>370</v>
      </c>
      <c r="F90" s="163">
        <v>117</v>
      </c>
      <c r="G90" s="163">
        <v>20</v>
      </c>
      <c r="H90" s="163"/>
      <c r="I90" s="163" t="s">
        <v>968</v>
      </c>
      <c r="J90" s="163" t="s">
        <v>973</v>
      </c>
      <c r="K90" s="159"/>
      <c r="L90" s="163"/>
      <c r="M90" s="159"/>
      <c r="N90" s="163"/>
      <c r="O90" s="159"/>
      <c r="P90" s="169"/>
      <c r="Q90" s="169" t="s">
        <v>1023</v>
      </c>
    </row>
    <row r="91" spans="1:17">
      <c r="A91" s="364"/>
      <c r="B91" s="159" t="s">
        <v>252</v>
      </c>
      <c r="C91" s="177">
        <v>82</v>
      </c>
      <c r="D91" s="163" t="s">
        <v>966</v>
      </c>
      <c r="E91" s="163">
        <v>330</v>
      </c>
      <c r="F91" s="163">
        <v>210</v>
      </c>
      <c r="G91" s="163">
        <v>30</v>
      </c>
      <c r="H91" s="163"/>
      <c r="I91" s="163" t="s">
        <v>968</v>
      </c>
      <c r="J91" s="163"/>
      <c r="K91" s="159"/>
      <c r="L91" s="163"/>
      <c r="M91" s="159"/>
      <c r="N91" s="163"/>
      <c r="O91" s="159"/>
      <c r="P91" s="169" t="s">
        <v>968</v>
      </c>
      <c r="Q91" s="169" t="s">
        <v>1024</v>
      </c>
    </row>
    <row r="92" spans="1:17">
      <c r="A92" s="364"/>
      <c r="B92" s="159" t="s">
        <v>253</v>
      </c>
      <c r="C92" s="177">
        <v>83</v>
      </c>
      <c r="D92" s="163" t="s">
        <v>966</v>
      </c>
      <c r="E92" s="163">
        <v>310</v>
      </c>
      <c r="F92" s="163">
        <v>100</v>
      </c>
      <c r="G92" s="163">
        <v>30</v>
      </c>
      <c r="H92" s="163"/>
      <c r="I92" s="163" t="s">
        <v>968</v>
      </c>
      <c r="J92" s="163" t="s">
        <v>971</v>
      </c>
      <c r="K92" s="159"/>
      <c r="L92" s="163"/>
      <c r="M92" s="159"/>
      <c r="N92" s="163"/>
      <c r="O92" s="159"/>
      <c r="P92" s="169" t="s">
        <v>968</v>
      </c>
      <c r="Q92" s="169" t="s">
        <v>851</v>
      </c>
    </row>
    <row r="93" spans="1:17" ht="24">
      <c r="A93" s="364"/>
      <c r="B93" s="159" t="s">
        <v>254</v>
      </c>
      <c r="C93" s="177">
        <v>84</v>
      </c>
      <c r="D93" s="163" t="s">
        <v>966</v>
      </c>
      <c r="E93" s="163">
        <v>465</v>
      </c>
      <c r="F93" s="163">
        <v>375</v>
      </c>
      <c r="G93" s="163">
        <v>40</v>
      </c>
      <c r="H93" s="172" t="s">
        <v>939</v>
      </c>
      <c r="I93" s="163" t="s">
        <v>968</v>
      </c>
      <c r="J93" s="163" t="s">
        <v>972</v>
      </c>
      <c r="K93" s="159"/>
      <c r="L93" s="163" t="s">
        <v>1235</v>
      </c>
      <c r="M93" s="159"/>
      <c r="N93" s="163"/>
      <c r="O93" s="159"/>
      <c r="P93" s="169" t="s">
        <v>1062</v>
      </c>
      <c r="Q93" s="169" t="s">
        <v>1025</v>
      </c>
    </row>
    <row r="94" spans="1:17" ht="24">
      <c r="A94" s="364"/>
      <c r="B94" s="159" t="s">
        <v>255</v>
      </c>
      <c r="C94" s="177">
        <v>86</v>
      </c>
      <c r="D94" s="163" t="s">
        <v>966</v>
      </c>
      <c r="E94" s="163">
        <v>410</v>
      </c>
      <c r="F94" s="163">
        <v>170</v>
      </c>
      <c r="G94" s="163">
        <v>40</v>
      </c>
      <c r="H94" s="163"/>
      <c r="I94" s="163" t="s">
        <v>968</v>
      </c>
      <c r="J94" s="163" t="s">
        <v>972</v>
      </c>
      <c r="K94" s="159"/>
      <c r="L94" s="163"/>
      <c r="M94" s="159"/>
      <c r="N94" s="163"/>
      <c r="O94" s="159"/>
      <c r="P94" s="169"/>
      <c r="Q94" s="169" t="s">
        <v>1026</v>
      </c>
    </row>
    <row r="95" spans="1:17" ht="24">
      <c r="A95" s="364"/>
      <c r="B95" s="159" t="s">
        <v>256</v>
      </c>
      <c r="C95" s="177">
        <v>87</v>
      </c>
      <c r="D95" s="163" t="s">
        <v>966</v>
      </c>
      <c r="E95" s="163">
        <v>470</v>
      </c>
      <c r="F95" s="163">
        <v>95</v>
      </c>
      <c r="G95" s="163">
        <v>25</v>
      </c>
      <c r="H95" s="163"/>
      <c r="I95" s="163" t="s">
        <v>968</v>
      </c>
      <c r="J95" s="163"/>
      <c r="K95" s="159"/>
      <c r="L95" s="163" t="s">
        <v>931</v>
      </c>
      <c r="M95" s="159"/>
      <c r="N95" s="163"/>
      <c r="O95" s="159"/>
      <c r="P95" s="169" t="s">
        <v>1063</v>
      </c>
      <c r="Q95" s="169" t="s">
        <v>1027</v>
      </c>
    </row>
    <row r="96" spans="1:17">
      <c r="A96" s="364"/>
      <c r="B96" s="159" t="s">
        <v>257</v>
      </c>
      <c r="C96" s="177">
        <v>88</v>
      </c>
      <c r="D96" s="163" t="s">
        <v>966</v>
      </c>
      <c r="E96" s="163">
        <v>280</v>
      </c>
      <c r="F96" s="163">
        <v>190</v>
      </c>
      <c r="G96" s="163">
        <v>35</v>
      </c>
      <c r="H96" s="163"/>
      <c r="I96" s="163" t="s">
        <v>968</v>
      </c>
      <c r="J96" s="163"/>
      <c r="K96" s="159"/>
      <c r="L96" s="163" t="s">
        <v>931</v>
      </c>
      <c r="M96" s="159"/>
      <c r="N96" s="163"/>
      <c r="O96" s="159"/>
      <c r="P96" s="169" t="s">
        <v>968</v>
      </c>
      <c r="Q96" s="169" t="s">
        <v>1236</v>
      </c>
    </row>
    <row r="97" spans="1:17">
      <c r="A97" s="364"/>
      <c r="B97" s="159" t="s">
        <v>258</v>
      </c>
      <c r="C97" s="177">
        <v>90</v>
      </c>
      <c r="D97" s="163" t="s">
        <v>966</v>
      </c>
      <c r="E97" s="163">
        <v>295</v>
      </c>
      <c r="F97" s="163">
        <v>60</v>
      </c>
      <c r="G97" s="163">
        <v>20</v>
      </c>
      <c r="H97" s="172" t="s">
        <v>937</v>
      </c>
      <c r="I97" s="163" t="s">
        <v>968</v>
      </c>
      <c r="J97" s="163" t="s">
        <v>973</v>
      </c>
      <c r="K97" s="159"/>
      <c r="L97" s="163"/>
      <c r="M97" s="159"/>
      <c r="N97" s="163"/>
      <c r="O97" s="159"/>
      <c r="P97" s="169" t="s">
        <v>968</v>
      </c>
      <c r="Q97" s="169" t="s">
        <v>1028</v>
      </c>
    </row>
    <row r="98" spans="1:17">
      <c r="A98" s="364"/>
      <c r="B98" s="159" t="s">
        <v>259</v>
      </c>
      <c r="C98" s="177">
        <v>93</v>
      </c>
      <c r="D98" s="163" t="s">
        <v>966</v>
      </c>
      <c r="E98" s="163">
        <v>373</v>
      </c>
      <c r="F98" s="163">
        <v>115</v>
      </c>
      <c r="G98" s="163">
        <v>28</v>
      </c>
      <c r="H98" s="163"/>
      <c r="I98" s="163" t="s">
        <v>968</v>
      </c>
      <c r="J98" s="163" t="s">
        <v>973</v>
      </c>
      <c r="K98" s="159"/>
      <c r="L98" s="163" t="s">
        <v>930</v>
      </c>
      <c r="M98" s="159"/>
      <c r="N98" s="163"/>
      <c r="O98" s="159"/>
      <c r="P98" s="169" t="s">
        <v>1049</v>
      </c>
      <c r="Q98" s="169" t="s">
        <v>1029</v>
      </c>
    </row>
    <row r="99" spans="1:17" ht="24">
      <c r="A99" s="364"/>
      <c r="B99" s="159" t="s">
        <v>260</v>
      </c>
      <c r="C99" s="177" t="s">
        <v>1140</v>
      </c>
      <c r="D99" s="163" t="s">
        <v>970</v>
      </c>
      <c r="E99" s="163">
        <v>270</v>
      </c>
      <c r="F99" s="163">
        <v>250</v>
      </c>
      <c r="G99" s="163">
        <v>30</v>
      </c>
      <c r="H99" s="163"/>
      <c r="I99" s="163" t="s">
        <v>968</v>
      </c>
      <c r="J99" s="163"/>
      <c r="K99" s="159"/>
      <c r="L99" s="163"/>
      <c r="M99" s="159"/>
      <c r="N99" s="163"/>
      <c r="O99" s="159"/>
      <c r="P99" s="169"/>
      <c r="Q99" s="169" t="s">
        <v>1030</v>
      </c>
    </row>
    <row r="100" spans="1:17" ht="24">
      <c r="A100" s="364"/>
      <c r="B100" s="159" t="s">
        <v>261</v>
      </c>
      <c r="C100" s="177" t="s">
        <v>1141</v>
      </c>
      <c r="D100" s="163" t="s">
        <v>966</v>
      </c>
      <c r="E100" s="163">
        <v>375</v>
      </c>
      <c r="F100" s="163">
        <v>230</v>
      </c>
      <c r="G100" s="163">
        <v>55</v>
      </c>
      <c r="H100" s="163"/>
      <c r="I100" s="163" t="s">
        <v>968</v>
      </c>
      <c r="J100" s="163" t="s">
        <v>971</v>
      </c>
      <c r="K100" s="159"/>
      <c r="L100" s="163"/>
      <c r="M100" s="159"/>
      <c r="N100" s="163"/>
      <c r="O100" s="159"/>
      <c r="P100" s="169" t="s">
        <v>1049</v>
      </c>
      <c r="Q100" s="169" t="s">
        <v>1031</v>
      </c>
    </row>
    <row r="101" spans="1:17" ht="24">
      <c r="A101" s="364"/>
      <c r="B101" s="159" t="s">
        <v>262</v>
      </c>
      <c r="C101" s="177">
        <v>99</v>
      </c>
      <c r="D101" s="163" t="s">
        <v>970</v>
      </c>
      <c r="E101" s="163">
        <v>230</v>
      </c>
      <c r="F101" s="163">
        <v>160</v>
      </c>
      <c r="G101" s="163">
        <v>28</v>
      </c>
      <c r="H101" s="163"/>
      <c r="I101" s="163" t="s">
        <v>968</v>
      </c>
      <c r="J101" s="163"/>
      <c r="K101" s="159"/>
      <c r="L101" s="163" t="s">
        <v>930</v>
      </c>
      <c r="M101" s="159"/>
      <c r="N101" s="163"/>
      <c r="O101" s="159"/>
      <c r="P101" s="169" t="s">
        <v>1064</v>
      </c>
      <c r="Q101" s="169" t="s">
        <v>1032</v>
      </c>
    </row>
    <row r="102" spans="1:17" ht="24">
      <c r="A102" s="364"/>
      <c r="B102" s="159" t="s">
        <v>263</v>
      </c>
      <c r="C102" s="177">
        <v>100</v>
      </c>
      <c r="D102" s="163" t="s">
        <v>966</v>
      </c>
      <c r="E102" s="163">
        <v>520</v>
      </c>
      <c r="F102" s="163">
        <v>240</v>
      </c>
      <c r="G102" s="163">
        <v>70</v>
      </c>
      <c r="H102" s="163"/>
      <c r="I102" s="163" t="s">
        <v>968</v>
      </c>
      <c r="J102" s="163" t="s">
        <v>971</v>
      </c>
      <c r="K102" s="159"/>
      <c r="L102" s="163" t="s">
        <v>930</v>
      </c>
      <c r="M102" s="159"/>
      <c r="N102" s="163"/>
      <c r="O102" s="159"/>
      <c r="P102" s="169" t="s">
        <v>1049</v>
      </c>
      <c r="Q102" s="169" t="s">
        <v>1033</v>
      </c>
    </row>
    <row r="103" spans="1:17" ht="24">
      <c r="A103" s="364"/>
      <c r="B103" s="159" t="s">
        <v>264</v>
      </c>
      <c r="C103" s="177" t="s">
        <v>1117</v>
      </c>
      <c r="D103" s="163" t="s">
        <v>970</v>
      </c>
      <c r="E103" s="163">
        <v>280</v>
      </c>
      <c r="F103" s="163">
        <v>100</v>
      </c>
      <c r="G103" s="163">
        <v>5</v>
      </c>
      <c r="H103" s="163"/>
      <c r="I103" s="163" t="s">
        <v>968</v>
      </c>
      <c r="J103" s="163" t="s">
        <v>972</v>
      </c>
      <c r="K103" s="159"/>
      <c r="L103" s="163"/>
      <c r="M103" s="159"/>
      <c r="N103" s="163"/>
      <c r="O103" s="159"/>
      <c r="P103" s="169"/>
      <c r="Q103" s="169" t="s">
        <v>1034</v>
      </c>
    </row>
    <row r="104" spans="1:17">
      <c r="A104" s="364"/>
      <c r="B104" s="159" t="s">
        <v>265</v>
      </c>
      <c r="C104" s="177">
        <v>103</v>
      </c>
      <c r="D104" s="163" t="s">
        <v>966</v>
      </c>
      <c r="E104" s="163">
        <v>500</v>
      </c>
      <c r="F104" s="163">
        <v>240</v>
      </c>
      <c r="G104" s="163">
        <v>48</v>
      </c>
      <c r="H104" s="163"/>
      <c r="I104" s="163" t="s">
        <v>968</v>
      </c>
      <c r="J104" s="163" t="s">
        <v>971</v>
      </c>
      <c r="K104" s="159"/>
      <c r="L104" s="163"/>
      <c r="M104" s="159"/>
      <c r="N104" s="163"/>
      <c r="O104" s="159"/>
      <c r="P104" s="169" t="s">
        <v>968</v>
      </c>
      <c r="Q104" s="169" t="s">
        <v>851</v>
      </c>
    </row>
    <row r="105" spans="1:17">
      <c r="A105" s="364"/>
      <c r="B105" s="159" t="s">
        <v>266</v>
      </c>
      <c r="C105" s="177">
        <v>107</v>
      </c>
      <c r="D105" s="163" t="s">
        <v>966</v>
      </c>
      <c r="E105" s="163">
        <v>330</v>
      </c>
      <c r="F105" s="163">
        <v>110</v>
      </c>
      <c r="G105" s="163">
        <v>35</v>
      </c>
      <c r="H105" s="163"/>
      <c r="I105" s="163" t="s">
        <v>968</v>
      </c>
      <c r="J105" s="163" t="s">
        <v>971</v>
      </c>
      <c r="K105" s="159"/>
      <c r="L105" s="163"/>
      <c r="M105" s="159"/>
      <c r="N105" s="163"/>
      <c r="O105" s="159"/>
      <c r="P105" s="169" t="s">
        <v>1049</v>
      </c>
      <c r="Q105" s="169" t="s">
        <v>1035</v>
      </c>
    </row>
    <row r="106" spans="1:17" ht="24">
      <c r="A106" s="364"/>
      <c r="B106" s="159" t="s">
        <v>267</v>
      </c>
      <c r="C106" s="177">
        <v>112</v>
      </c>
      <c r="D106" s="163" t="s">
        <v>966</v>
      </c>
      <c r="E106" s="163">
        <v>600</v>
      </c>
      <c r="F106" s="163">
        <v>270</v>
      </c>
      <c r="G106" s="163">
        <v>78</v>
      </c>
      <c r="H106" s="163" t="s">
        <v>930</v>
      </c>
      <c r="I106" s="163" t="s">
        <v>931</v>
      </c>
      <c r="J106" s="163" t="s">
        <v>972</v>
      </c>
      <c r="K106" s="159"/>
      <c r="L106" s="163" t="s">
        <v>931</v>
      </c>
      <c r="M106" s="159"/>
      <c r="N106" s="163"/>
      <c r="O106" s="159" t="s">
        <v>937</v>
      </c>
      <c r="P106" s="169" t="s">
        <v>1065</v>
      </c>
      <c r="Q106" s="169" t="s">
        <v>1237</v>
      </c>
    </row>
    <row r="107" spans="1:17">
      <c r="A107" s="364"/>
      <c r="B107" s="159" t="s">
        <v>268</v>
      </c>
      <c r="C107" s="177" t="s">
        <v>1118</v>
      </c>
      <c r="D107" s="163" t="s">
        <v>966</v>
      </c>
      <c r="E107" s="163">
        <v>300</v>
      </c>
      <c r="F107" s="163">
        <v>150</v>
      </c>
      <c r="G107" s="163">
        <v>65</v>
      </c>
      <c r="H107" s="163"/>
      <c r="I107" s="163" t="s">
        <v>968</v>
      </c>
      <c r="J107" s="163"/>
      <c r="K107" s="159"/>
      <c r="L107" s="163"/>
      <c r="M107" s="159"/>
      <c r="N107" s="163"/>
      <c r="O107" s="159"/>
      <c r="P107" s="169"/>
      <c r="Q107" s="169" t="s">
        <v>1036</v>
      </c>
    </row>
    <row r="108" spans="1:17">
      <c r="A108" s="364"/>
      <c r="B108" s="159" t="s">
        <v>269</v>
      </c>
      <c r="C108" s="177" t="s">
        <v>1119</v>
      </c>
      <c r="D108" s="163" t="s">
        <v>966</v>
      </c>
      <c r="E108" s="163">
        <v>215</v>
      </c>
      <c r="F108" s="163">
        <v>70</v>
      </c>
      <c r="G108" s="163">
        <v>20</v>
      </c>
      <c r="H108" s="163"/>
      <c r="I108" s="163" t="s">
        <v>968</v>
      </c>
      <c r="J108" s="163"/>
      <c r="K108" s="159"/>
      <c r="L108" s="163"/>
      <c r="M108" s="159"/>
      <c r="N108" s="163"/>
      <c r="O108" s="159"/>
      <c r="P108" s="169" t="s">
        <v>968</v>
      </c>
      <c r="Q108" s="169" t="s">
        <v>1037</v>
      </c>
    </row>
    <row r="109" spans="1:17" ht="24">
      <c r="A109" s="364"/>
      <c r="B109" s="159" t="s">
        <v>270</v>
      </c>
      <c r="C109" s="177" t="s">
        <v>1120</v>
      </c>
      <c r="D109" s="163" t="s">
        <v>966</v>
      </c>
      <c r="E109" s="163">
        <v>660</v>
      </c>
      <c r="F109" s="163">
        <v>200</v>
      </c>
      <c r="G109" s="163">
        <v>60</v>
      </c>
      <c r="H109" s="163"/>
      <c r="I109" s="163" t="s">
        <v>968</v>
      </c>
      <c r="J109" s="163" t="s">
        <v>971</v>
      </c>
      <c r="K109" s="159"/>
      <c r="L109" s="163" t="s">
        <v>930</v>
      </c>
      <c r="M109" s="159"/>
      <c r="N109" s="163"/>
      <c r="O109" s="159"/>
      <c r="P109" s="169" t="s">
        <v>935</v>
      </c>
      <c r="Q109" s="169" t="s">
        <v>1071</v>
      </c>
    </row>
    <row r="110" spans="1:17" ht="36">
      <c r="A110" s="364"/>
      <c r="B110" s="159" t="s">
        <v>271</v>
      </c>
      <c r="C110" s="177" t="s">
        <v>1121</v>
      </c>
      <c r="D110" s="163" t="s">
        <v>966</v>
      </c>
      <c r="E110" s="163">
        <v>360</v>
      </c>
      <c r="F110" s="163">
        <v>90</v>
      </c>
      <c r="G110" s="163">
        <v>15</v>
      </c>
      <c r="H110" s="163"/>
      <c r="I110" s="163" t="s">
        <v>968</v>
      </c>
      <c r="J110" s="163"/>
      <c r="K110" s="159"/>
      <c r="L110" s="163"/>
      <c r="M110" s="159"/>
      <c r="N110" s="163"/>
      <c r="O110" s="159"/>
      <c r="P110" s="169"/>
      <c r="Q110" s="169" t="s">
        <v>1038</v>
      </c>
    </row>
    <row r="111" spans="1:17" ht="24">
      <c r="A111" s="364"/>
      <c r="B111" s="159" t="s">
        <v>272</v>
      </c>
      <c r="C111" s="177" t="s">
        <v>1122</v>
      </c>
      <c r="D111" s="163" t="s">
        <v>977</v>
      </c>
      <c r="E111" s="163">
        <v>238</v>
      </c>
      <c r="F111" s="163">
        <v>80</v>
      </c>
      <c r="G111" s="163">
        <v>10</v>
      </c>
      <c r="H111" s="163"/>
      <c r="I111" s="163" t="s">
        <v>968</v>
      </c>
      <c r="J111" s="163" t="s">
        <v>973</v>
      </c>
      <c r="K111" s="159"/>
      <c r="L111" s="163"/>
      <c r="M111" s="159"/>
      <c r="N111" s="163"/>
      <c r="O111" s="159"/>
      <c r="P111" s="169" t="s">
        <v>968</v>
      </c>
      <c r="Q111" s="169" t="s">
        <v>1072</v>
      </c>
    </row>
    <row r="112" spans="1:17" ht="24">
      <c r="A112" s="364"/>
      <c r="B112" s="159" t="s">
        <v>273</v>
      </c>
      <c r="C112" s="177">
        <v>125</v>
      </c>
      <c r="D112" s="163" t="s">
        <v>970</v>
      </c>
      <c r="E112" s="163">
        <v>350</v>
      </c>
      <c r="F112" s="163">
        <v>310</v>
      </c>
      <c r="G112" s="163">
        <v>45</v>
      </c>
      <c r="H112" s="163"/>
      <c r="I112" s="163" t="s">
        <v>968</v>
      </c>
      <c r="J112" s="163" t="s">
        <v>973</v>
      </c>
      <c r="K112" s="159"/>
      <c r="L112" s="163" t="s">
        <v>931</v>
      </c>
      <c r="M112" s="159"/>
      <c r="N112" s="163"/>
      <c r="O112" s="159"/>
      <c r="P112" s="169" t="s">
        <v>968</v>
      </c>
      <c r="Q112" s="169" t="s">
        <v>1039</v>
      </c>
    </row>
    <row r="113" spans="1:18" ht="24">
      <c r="A113" s="364"/>
      <c r="B113" s="159" t="s">
        <v>274</v>
      </c>
      <c r="C113" s="177" t="s">
        <v>1123</v>
      </c>
      <c r="D113" s="163" t="s">
        <v>970</v>
      </c>
      <c r="E113" s="163">
        <v>270</v>
      </c>
      <c r="F113" s="163">
        <v>240</v>
      </c>
      <c r="G113" s="163">
        <v>50</v>
      </c>
      <c r="H113" s="172" t="s">
        <v>939</v>
      </c>
      <c r="I113" s="163" t="s">
        <v>968</v>
      </c>
      <c r="J113" s="163" t="s">
        <v>971</v>
      </c>
      <c r="K113" s="159"/>
      <c r="L113" s="163"/>
      <c r="M113" s="159"/>
      <c r="N113" s="163"/>
      <c r="O113" s="159"/>
      <c r="P113" s="169" t="s">
        <v>968</v>
      </c>
      <c r="Q113" s="169" t="s">
        <v>1040</v>
      </c>
    </row>
    <row r="114" spans="1:18">
      <c r="A114" s="364"/>
      <c r="B114" s="159" t="s">
        <v>275</v>
      </c>
      <c r="C114" s="177">
        <v>126</v>
      </c>
      <c r="D114" s="163" t="s">
        <v>966</v>
      </c>
      <c r="E114" s="163">
        <v>450</v>
      </c>
      <c r="F114" s="163">
        <v>230</v>
      </c>
      <c r="G114" s="163">
        <v>55</v>
      </c>
      <c r="H114" s="163"/>
      <c r="I114" s="163" t="s">
        <v>968</v>
      </c>
      <c r="J114" s="163" t="s">
        <v>971</v>
      </c>
      <c r="K114" s="159"/>
      <c r="L114" s="163" t="s">
        <v>930</v>
      </c>
      <c r="M114" s="159"/>
      <c r="N114" s="163"/>
      <c r="O114" s="159"/>
      <c r="P114" s="169" t="s">
        <v>935</v>
      </c>
      <c r="Q114" s="169" t="s">
        <v>1041</v>
      </c>
    </row>
    <row r="115" spans="1:18">
      <c r="A115" s="364"/>
      <c r="B115" s="159" t="s">
        <v>276</v>
      </c>
      <c r="C115" s="177">
        <v>127</v>
      </c>
      <c r="D115" s="163" t="s">
        <v>975</v>
      </c>
      <c r="E115" s="163">
        <v>250</v>
      </c>
      <c r="F115" s="163">
        <v>150</v>
      </c>
      <c r="G115" s="163">
        <v>40</v>
      </c>
      <c r="H115" s="172" t="s">
        <v>937</v>
      </c>
      <c r="I115" s="163" t="s">
        <v>968</v>
      </c>
      <c r="J115" s="163" t="s">
        <v>1225</v>
      </c>
      <c r="K115" s="159"/>
      <c r="L115" s="163"/>
      <c r="M115" s="159"/>
      <c r="N115" s="163"/>
      <c r="O115" s="159"/>
      <c r="P115" s="169"/>
      <c r="Q115" s="169" t="s">
        <v>1042</v>
      </c>
    </row>
    <row r="116" spans="1:18">
      <c r="A116" s="364"/>
      <c r="B116" s="159" t="s">
        <v>277</v>
      </c>
      <c r="C116" s="177">
        <v>128</v>
      </c>
      <c r="D116" s="163" t="s">
        <v>966</v>
      </c>
      <c r="E116" s="163">
        <v>275</v>
      </c>
      <c r="F116" s="163">
        <v>130</v>
      </c>
      <c r="G116" s="163">
        <v>20</v>
      </c>
      <c r="H116" s="163"/>
      <c r="I116" s="163" t="s">
        <v>968</v>
      </c>
      <c r="J116" s="163"/>
      <c r="K116" s="159"/>
      <c r="L116" s="163"/>
      <c r="M116" s="159"/>
      <c r="N116" s="163"/>
      <c r="O116" s="159"/>
      <c r="P116" s="169" t="s">
        <v>968</v>
      </c>
      <c r="Q116" s="169"/>
    </row>
    <row r="117" spans="1:18">
      <c r="A117" s="364"/>
      <c r="B117" s="159" t="s">
        <v>278</v>
      </c>
      <c r="C117" s="177">
        <v>129</v>
      </c>
      <c r="D117" s="163" t="s">
        <v>975</v>
      </c>
      <c r="E117" s="163">
        <v>260</v>
      </c>
      <c r="F117" s="163">
        <v>125</v>
      </c>
      <c r="G117" s="163">
        <v>15</v>
      </c>
      <c r="H117" s="163"/>
      <c r="I117" s="163" t="s">
        <v>968</v>
      </c>
      <c r="J117" s="163" t="s">
        <v>979</v>
      </c>
      <c r="K117" s="159"/>
      <c r="L117" s="163"/>
      <c r="M117" s="159"/>
      <c r="N117" s="163"/>
      <c r="O117" s="159"/>
      <c r="P117" s="169" t="s">
        <v>935</v>
      </c>
      <c r="Q117" s="169" t="s">
        <v>851</v>
      </c>
    </row>
    <row r="118" spans="1:18">
      <c r="A118" s="364"/>
      <c r="B118" s="159" t="s">
        <v>279</v>
      </c>
      <c r="C118" s="177">
        <v>134</v>
      </c>
      <c r="D118" s="163" t="s">
        <v>954</v>
      </c>
      <c r="E118" s="163">
        <v>150</v>
      </c>
      <c r="F118" s="163">
        <v>230</v>
      </c>
      <c r="G118" s="163">
        <v>50</v>
      </c>
      <c r="H118" s="163"/>
      <c r="I118" s="163" t="s">
        <v>968</v>
      </c>
      <c r="J118" s="163" t="s">
        <v>1215</v>
      </c>
      <c r="K118" s="159"/>
      <c r="L118" s="163"/>
      <c r="M118" s="159"/>
      <c r="N118" s="163"/>
      <c r="O118" s="159"/>
      <c r="P118" s="169"/>
      <c r="Q118" s="169" t="s">
        <v>1238</v>
      </c>
    </row>
    <row r="119" spans="1:18">
      <c r="A119" s="364"/>
      <c r="B119" s="159" t="s">
        <v>280</v>
      </c>
      <c r="C119" s="177" t="s">
        <v>1124</v>
      </c>
      <c r="D119" s="163" t="s">
        <v>966</v>
      </c>
      <c r="E119" s="163">
        <v>290</v>
      </c>
      <c r="F119" s="163">
        <v>290</v>
      </c>
      <c r="G119" s="163">
        <v>30</v>
      </c>
      <c r="H119" s="163"/>
      <c r="I119" s="163" t="s">
        <v>968</v>
      </c>
      <c r="J119" s="163"/>
      <c r="K119" s="159"/>
      <c r="L119" s="163"/>
      <c r="M119" s="159"/>
      <c r="N119" s="163"/>
      <c r="O119" s="159"/>
      <c r="P119" s="169" t="s">
        <v>968</v>
      </c>
      <c r="Q119" s="169" t="s">
        <v>1043</v>
      </c>
    </row>
    <row r="120" spans="1:18" ht="24">
      <c r="A120" s="364"/>
      <c r="B120" s="159" t="s">
        <v>281</v>
      </c>
      <c r="C120" s="177" t="s">
        <v>1125</v>
      </c>
      <c r="D120" s="163" t="s">
        <v>966</v>
      </c>
      <c r="E120" s="163">
        <v>350</v>
      </c>
      <c r="F120" s="163">
        <v>200</v>
      </c>
      <c r="G120" s="163">
        <v>25</v>
      </c>
      <c r="H120" s="172" t="s">
        <v>939</v>
      </c>
      <c r="I120" s="163" t="s">
        <v>968</v>
      </c>
      <c r="J120" s="163"/>
      <c r="K120" s="159"/>
      <c r="L120" s="163"/>
      <c r="M120" s="159"/>
      <c r="N120" s="163"/>
      <c r="O120" s="159"/>
      <c r="P120" s="169" t="s">
        <v>968</v>
      </c>
      <c r="Q120" s="169" t="s">
        <v>1044</v>
      </c>
    </row>
    <row r="121" spans="1:18">
      <c r="A121" s="364"/>
      <c r="B121" s="159" t="s">
        <v>282</v>
      </c>
      <c r="C121" s="177">
        <v>139</v>
      </c>
      <c r="D121" s="163" t="s">
        <v>966</v>
      </c>
      <c r="E121" s="163">
        <v>600</v>
      </c>
      <c r="F121" s="163">
        <v>310</v>
      </c>
      <c r="G121" s="163">
        <v>110</v>
      </c>
      <c r="H121" s="163"/>
      <c r="I121" s="163" t="s">
        <v>968</v>
      </c>
      <c r="J121" s="163" t="s">
        <v>971</v>
      </c>
      <c r="K121" s="159"/>
      <c r="L121" s="163"/>
      <c r="M121" s="159"/>
      <c r="N121" s="163"/>
      <c r="O121" s="159"/>
      <c r="P121" s="169" t="s">
        <v>968</v>
      </c>
      <c r="Q121" s="169" t="s">
        <v>1045</v>
      </c>
    </row>
    <row r="122" spans="1:18">
      <c r="A122" s="364"/>
      <c r="B122" s="159" t="s">
        <v>283</v>
      </c>
      <c r="C122" s="177">
        <v>141</v>
      </c>
      <c r="D122" s="163" t="s">
        <v>970</v>
      </c>
      <c r="E122" s="163">
        <v>190</v>
      </c>
      <c r="F122" s="163">
        <v>110</v>
      </c>
      <c r="G122" s="163">
        <v>20</v>
      </c>
      <c r="H122" s="163"/>
      <c r="I122" s="163" t="s">
        <v>968</v>
      </c>
      <c r="J122" s="163" t="s">
        <v>971</v>
      </c>
      <c r="K122" s="159"/>
      <c r="L122" s="163"/>
      <c r="M122" s="159"/>
      <c r="N122" s="163"/>
      <c r="O122" s="159"/>
      <c r="P122" s="169" t="s">
        <v>968</v>
      </c>
      <c r="Q122" s="169" t="s">
        <v>851</v>
      </c>
    </row>
    <row r="123" spans="1:18">
      <c r="A123" s="364"/>
      <c r="B123" s="159" t="s">
        <v>284</v>
      </c>
      <c r="C123" s="178">
        <v>142</v>
      </c>
      <c r="D123" s="164" t="s">
        <v>966</v>
      </c>
      <c r="E123" s="163">
        <v>290</v>
      </c>
      <c r="F123" s="163">
        <v>120</v>
      </c>
      <c r="G123" s="163">
        <v>15</v>
      </c>
      <c r="H123" s="163"/>
      <c r="I123" s="163" t="s">
        <v>968</v>
      </c>
      <c r="J123" s="163"/>
      <c r="K123" s="159"/>
      <c r="L123" s="163"/>
      <c r="M123" s="159"/>
      <c r="N123" s="163"/>
      <c r="O123" s="159"/>
      <c r="P123" s="169" t="s">
        <v>968</v>
      </c>
      <c r="Q123" s="169"/>
    </row>
    <row r="124" spans="1:18">
      <c r="A124" s="364"/>
      <c r="B124" s="159" t="s">
        <v>285</v>
      </c>
      <c r="C124" s="163">
        <v>143</v>
      </c>
      <c r="D124" s="163" t="s">
        <v>970</v>
      </c>
      <c r="E124" s="163">
        <v>240</v>
      </c>
      <c r="F124" s="163">
        <v>140</v>
      </c>
      <c r="G124" s="163">
        <v>15</v>
      </c>
      <c r="H124" s="163"/>
      <c r="I124" s="163" t="s">
        <v>968</v>
      </c>
      <c r="J124" s="163"/>
      <c r="K124" s="159"/>
      <c r="L124" s="163"/>
      <c r="M124" s="159"/>
      <c r="N124" s="163"/>
      <c r="O124" s="159"/>
      <c r="P124" s="169" t="s">
        <v>968</v>
      </c>
      <c r="Q124" s="169" t="s">
        <v>1046</v>
      </c>
    </row>
    <row r="125" spans="1:18">
      <c r="A125" s="362"/>
      <c r="B125" s="159" t="s">
        <v>286</v>
      </c>
      <c r="C125" s="163">
        <v>144</v>
      </c>
      <c r="D125" s="163" t="s">
        <v>970</v>
      </c>
      <c r="E125" s="163">
        <v>140</v>
      </c>
      <c r="F125" s="163">
        <v>70</v>
      </c>
      <c r="G125" s="163">
        <v>18</v>
      </c>
      <c r="H125" s="163"/>
      <c r="I125" s="163" t="s">
        <v>968</v>
      </c>
      <c r="J125" s="163"/>
      <c r="K125" s="159"/>
      <c r="L125" s="163"/>
      <c r="M125" s="159"/>
      <c r="N125" s="163"/>
      <c r="O125" s="159"/>
      <c r="P125" s="169" t="s">
        <v>1048</v>
      </c>
      <c r="Q125" s="169" t="s">
        <v>1047</v>
      </c>
    </row>
    <row r="126" spans="1:18" ht="30" customHeight="1"/>
    <row r="127" spans="1:18">
      <c r="A127" s="361" t="s">
        <v>1113</v>
      </c>
      <c r="B127" s="356" t="s">
        <v>844</v>
      </c>
      <c r="C127" s="361" t="s">
        <v>1142</v>
      </c>
      <c r="D127" s="356" t="s">
        <v>845</v>
      </c>
      <c r="E127" s="356" t="s">
        <v>846</v>
      </c>
      <c r="F127" s="356"/>
      <c r="G127" s="356"/>
      <c r="H127" s="356" t="s">
        <v>847</v>
      </c>
      <c r="I127" s="356"/>
      <c r="J127" s="356"/>
      <c r="K127" s="356"/>
      <c r="L127" s="356"/>
      <c r="M127" s="356"/>
      <c r="N127" s="356"/>
      <c r="O127" s="356" t="s">
        <v>868</v>
      </c>
      <c r="P127" s="355" t="s">
        <v>852</v>
      </c>
      <c r="Q127" s="355" t="s">
        <v>101</v>
      </c>
    </row>
    <row r="128" spans="1:18" ht="24">
      <c r="A128" s="364"/>
      <c r="B128" s="356"/>
      <c r="C128" s="362"/>
      <c r="D128" s="356"/>
      <c r="E128" s="159" t="s">
        <v>848</v>
      </c>
      <c r="F128" s="159" t="s">
        <v>849</v>
      </c>
      <c r="G128" s="159" t="s">
        <v>850</v>
      </c>
      <c r="H128" s="159" t="s">
        <v>929</v>
      </c>
      <c r="I128" s="159" t="s">
        <v>944</v>
      </c>
      <c r="J128" s="159" t="s">
        <v>851</v>
      </c>
      <c r="K128" s="159" t="s">
        <v>942</v>
      </c>
      <c r="L128" s="159" t="s">
        <v>1234</v>
      </c>
      <c r="M128" s="159" t="s">
        <v>943</v>
      </c>
      <c r="N128" s="159" t="s">
        <v>1221</v>
      </c>
      <c r="O128" s="356"/>
      <c r="P128" s="355"/>
      <c r="Q128" s="355"/>
      <c r="R128" s="160" t="s">
        <v>945</v>
      </c>
    </row>
    <row r="129" spans="1:17">
      <c r="A129" s="364"/>
      <c r="B129" s="159" t="s">
        <v>164</v>
      </c>
      <c r="C129" s="159" t="s">
        <v>164</v>
      </c>
      <c r="D129" s="163" t="s">
        <v>853</v>
      </c>
      <c r="E129" s="163">
        <v>335</v>
      </c>
      <c r="F129" s="163">
        <v>230</v>
      </c>
      <c r="G129" s="163">
        <v>39</v>
      </c>
      <c r="H129" s="163" t="s">
        <v>931</v>
      </c>
      <c r="I129" s="163" t="s">
        <v>968</v>
      </c>
      <c r="J129" s="163" t="s">
        <v>1216</v>
      </c>
      <c r="K129" s="159"/>
      <c r="L129" s="163"/>
      <c r="M129" s="159"/>
      <c r="N129" s="163"/>
      <c r="O129" s="159"/>
      <c r="P129" s="169" t="s">
        <v>1049</v>
      </c>
      <c r="Q129" s="169"/>
    </row>
    <row r="130" spans="1:17" ht="24">
      <c r="A130" s="364"/>
      <c r="B130" s="159" t="s">
        <v>165</v>
      </c>
      <c r="C130" s="159" t="s">
        <v>166</v>
      </c>
      <c r="D130" s="163" t="s">
        <v>966</v>
      </c>
      <c r="E130" s="163">
        <v>455</v>
      </c>
      <c r="F130" s="163">
        <v>270</v>
      </c>
      <c r="G130" s="163">
        <v>78</v>
      </c>
      <c r="H130" s="163" t="s">
        <v>931</v>
      </c>
      <c r="I130" s="163" t="s">
        <v>931</v>
      </c>
      <c r="J130" s="163" t="s">
        <v>1215</v>
      </c>
      <c r="K130" s="159"/>
      <c r="L130" s="163"/>
      <c r="M130" s="159" t="s">
        <v>930</v>
      </c>
      <c r="N130" s="163" t="s">
        <v>930</v>
      </c>
      <c r="O130" s="159"/>
      <c r="P130" s="169" t="s">
        <v>1050</v>
      </c>
      <c r="Q130" s="169" t="s">
        <v>1239</v>
      </c>
    </row>
    <row r="131" spans="1:17">
      <c r="A131" s="364"/>
      <c r="B131" s="159" t="s">
        <v>167</v>
      </c>
      <c r="C131" s="159" t="s">
        <v>168</v>
      </c>
      <c r="D131" s="163" t="s">
        <v>1068</v>
      </c>
      <c r="E131" s="163">
        <v>300</v>
      </c>
      <c r="F131" s="163">
        <v>190</v>
      </c>
      <c r="G131" s="163">
        <v>29</v>
      </c>
      <c r="H131" s="163" t="s">
        <v>931</v>
      </c>
      <c r="I131" s="163" t="s">
        <v>931</v>
      </c>
      <c r="J131" s="163"/>
      <c r="K131" s="159"/>
      <c r="L131" s="163"/>
      <c r="M131" s="159"/>
      <c r="N131" s="163" t="s">
        <v>930</v>
      </c>
      <c r="O131" s="159"/>
      <c r="P131" s="169" t="s">
        <v>1049</v>
      </c>
      <c r="Q131" s="169" t="s">
        <v>1098</v>
      </c>
    </row>
    <row r="132" spans="1:17">
      <c r="A132" s="364"/>
      <c r="B132" s="159" t="s">
        <v>169</v>
      </c>
      <c r="C132" s="159" t="s">
        <v>170</v>
      </c>
      <c r="D132" s="163" t="s">
        <v>966</v>
      </c>
      <c r="E132" s="163">
        <v>410</v>
      </c>
      <c r="F132" s="163">
        <v>250</v>
      </c>
      <c r="G132" s="163">
        <v>50</v>
      </c>
      <c r="H132" s="163" t="s">
        <v>930</v>
      </c>
      <c r="I132" s="163" t="s">
        <v>931</v>
      </c>
      <c r="J132" s="163" t="s">
        <v>1215</v>
      </c>
      <c r="K132" s="159"/>
      <c r="L132" s="163"/>
      <c r="M132" s="159"/>
      <c r="N132" s="163" t="s">
        <v>930</v>
      </c>
      <c r="O132" s="163"/>
      <c r="P132" s="169" t="s">
        <v>1049</v>
      </c>
      <c r="Q132" s="169" t="s">
        <v>1098</v>
      </c>
    </row>
    <row r="133" spans="1:17">
      <c r="A133" s="364"/>
      <c r="B133" s="159" t="s">
        <v>198</v>
      </c>
      <c r="C133" s="159" t="s">
        <v>110</v>
      </c>
      <c r="D133" s="159" t="s">
        <v>913</v>
      </c>
      <c r="E133" s="159" t="s">
        <v>879</v>
      </c>
      <c r="F133" s="159" t="s">
        <v>1074</v>
      </c>
      <c r="G133" s="159" t="s">
        <v>1075</v>
      </c>
      <c r="H133" s="159" t="s">
        <v>930</v>
      </c>
      <c r="I133" s="163" t="s">
        <v>931</v>
      </c>
      <c r="J133" s="163" t="s">
        <v>1216</v>
      </c>
      <c r="K133" s="159"/>
      <c r="L133" s="159"/>
      <c r="M133" s="159"/>
      <c r="N133" s="159"/>
      <c r="O133" s="159"/>
      <c r="P133" s="157"/>
      <c r="Q133" s="157" t="s">
        <v>1098</v>
      </c>
    </row>
    <row r="134" spans="1:17">
      <c r="A134" s="364"/>
      <c r="B134" s="159" t="s">
        <v>199</v>
      </c>
      <c r="C134" s="159" t="s">
        <v>111</v>
      </c>
      <c r="D134" s="159" t="s">
        <v>1068</v>
      </c>
      <c r="E134" s="159" t="s">
        <v>880</v>
      </c>
      <c r="F134" s="159" t="s">
        <v>1076</v>
      </c>
      <c r="G134" s="159" t="s">
        <v>1077</v>
      </c>
      <c r="H134" s="159" t="s">
        <v>930</v>
      </c>
      <c r="I134" s="159" t="s">
        <v>937</v>
      </c>
      <c r="J134" s="163" t="s">
        <v>1215</v>
      </c>
      <c r="K134" s="159"/>
      <c r="L134" s="159"/>
      <c r="M134" s="159"/>
      <c r="N134" s="159"/>
      <c r="O134" s="159"/>
      <c r="P134" s="157"/>
      <c r="Q134" s="157" t="s">
        <v>1098</v>
      </c>
    </row>
    <row r="135" spans="1:17">
      <c r="A135" s="364"/>
      <c r="B135" s="159" t="s">
        <v>200</v>
      </c>
      <c r="C135" s="159" t="s">
        <v>112</v>
      </c>
      <c r="D135" s="159" t="s">
        <v>1068</v>
      </c>
      <c r="E135" s="159" t="s">
        <v>1078</v>
      </c>
      <c r="F135" s="159" t="s">
        <v>1079</v>
      </c>
      <c r="G135" s="159" t="s">
        <v>1080</v>
      </c>
      <c r="H135" s="159" t="s">
        <v>930</v>
      </c>
      <c r="I135" s="163" t="s">
        <v>931</v>
      </c>
      <c r="J135" s="163" t="s">
        <v>1215</v>
      </c>
      <c r="K135" s="159"/>
      <c r="L135" s="159"/>
      <c r="M135" s="163" t="s">
        <v>931</v>
      </c>
      <c r="N135" s="163"/>
      <c r="O135" s="159"/>
      <c r="P135" s="157"/>
      <c r="Q135" s="157" t="s">
        <v>1240</v>
      </c>
    </row>
    <row r="136" spans="1:17" ht="24">
      <c r="A136" s="364"/>
      <c r="B136" s="159" t="s">
        <v>201</v>
      </c>
      <c r="C136" s="159" t="s">
        <v>113</v>
      </c>
      <c r="D136" s="159" t="s">
        <v>1068</v>
      </c>
      <c r="E136" s="159" t="s">
        <v>1081</v>
      </c>
      <c r="F136" s="159" t="s">
        <v>878</v>
      </c>
      <c r="G136" s="159" t="s">
        <v>1075</v>
      </c>
      <c r="H136" s="159"/>
      <c r="I136" s="159" t="s">
        <v>937</v>
      </c>
      <c r="J136" s="163" t="s">
        <v>1216</v>
      </c>
      <c r="K136" s="159"/>
      <c r="L136" s="159"/>
      <c r="M136" s="159"/>
      <c r="N136" s="159"/>
      <c r="O136" s="163"/>
      <c r="P136" s="157" t="s">
        <v>1242</v>
      </c>
      <c r="Q136" s="157" t="s">
        <v>1241</v>
      </c>
    </row>
    <row r="137" spans="1:17">
      <c r="A137" s="364"/>
      <c r="B137" s="159" t="s">
        <v>202</v>
      </c>
      <c r="C137" s="159" t="s">
        <v>576</v>
      </c>
      <c r="D137" s="159" t="s">
        <v>1068</v>
      </c>
      <c r="E137" s="159" t="s">
        <v>910</v>
      </c>
      <c r="F137" s="159" t="s">
        <v>1082</v>
      </c>
      <c r="G137" s="159" t="s">
        <v>1083</v>
      </c>
      <c r="H137" s="159" t="s">
        <v>939</v>
      </c>
      <c r="I137" s="159" t="s">
        <v>939</v>
      </c>
      <c r="J137" s="163" t="s">
        <v>1216</v>
      </c>
      <c r="K137" s="159"/>
      <c r="L137" s="159"/>
      <c r="M137" s="159"/>
      <c r="N137" s="159"/>
      <c r="O137" s="159"/>
      <c r="P137" s="157"/>
      <c r="Q137" s="157" t="s">
        <v>1099</v>
      </c>
    </row>
    <row r="138" spans="1:17">
      <c r="A138" s="364"/>
      <c r="B138" s="159" t="s">
        <v>203</v>
      </c>
      <c r="C138" s="159" t="s">
        <v>577</v>
      </c>
      <c r="D138" s="159" t="s">
        <v>1068</v>
      </c>
      <c r="E138" s="159" t="s">
        <v>908</v>
      </c>
      <c r="F138" s="159" t="s">
        <v>886</v>
      </c>
      <c r="G138" s="159" t="s">
        <v>1084</v>
      </c>
      <c r="H138" s="159" t="s">
        <v>930</v>
      </c>
      <c r="I138" s="163" t="s">
        <v>931</v>
      </c>
      <c r="J138" s="163" t="s">
        <v>1215</v>
      </c>
      <c r="K138" s="159"/>
      <c r="L138" s="159"/>
      <c r="M138" s="159"/>
      <c r="N138" s="159"/>
      <c r="O138" s="159"/>
      <c r="P138" s="157"/>
      <c r="Q138" s="157" t="s">
        <v>1098</v>
      </c>
    </row>
    <row r="139" spans="1:17">
      <c r="A139" s="364"/>
      <c r="B139" s="159" t="s">
        <v>204</v>
      </c>
      <c r="C139" s="159" t="s">
        <v>578</v>
      </c>
      <c r="D139" s="159" t="s">
        <v>1073</v>
      </c>
      <c r="E139" s="159" t="s">
        <v>1085</v>
      </c>
      <c r="F139" s="159" t="s">
        <v>1086</v>
      </c>
      <c r="G139" s="159" t="s">
        <v>1084</v>
      </c>
      <c r="H139" s="159"/>
      <c r="I139" s="159"/>
      <c r="J139" s="163" t="s">
        <v>1215</v>
      </c>
      <c r="K139" s="159"/>
      <c r="L139" s="163"/>
      <c r="M139" s="163" t="s">
        <v>931</v>
      </c>
      <c r="N139" s="163" t="s">
        <v>931</v>
      </c>
      <c r="O139" s="163" t="s">
        <v>937</v>
      </c>
      <c r="P139" s="157"/>
      <c r="Q139" s="157" t="s">
        <v>1243</v>
      </c>
    </row>
    <row r="140" spans="1:17" ht="24">
      <c r="A140" s="364"/>
      <c r="B140" s="159" t="s">
        <v>205</v>
      </c>
      <c r="C140" s="159" t="s">
        <v>579</v>
      </c>
      <c r="D140" s="159" t="s">
        <v>1068</v>
      </c>
      <c r="E140" s="159" t="s">
        <v>1087</v>
      </c>
      <c r="F140" s="159" t="s">
        <v>1088</v>
      </c>
      <c r="G140" s="159" t="s">
        <v>1089</v>
      </c>
      <c r="H140" s="159" t="s">
        <v>930</v>
      </c>
      <c r="I140" s="163" t="s">
        <v>931</v>
      </c>
      <c r="J140" s="163" t="s">
        <v>1215</v>
      </c>
      <c r="K140" s="159" t="s">
        <v>930</v>
      </c>
      <c r="L140" s="159"/>
      <c r="M140" s="159"/>
      <c r="N140" s="159"/>
      <c r="O140" s="163" t="s">
        <v>937</v>
      </c>
      <c r="P140" s="157"/>
      <c r="Q140" s="157" t="s">
        <v>1244</v>
      </c>
    </row>
    <row r="141" spans="1:17">
      <c r="A141" s="364"/>
      <c r="B141" s="159" t="s">
        <v>206</v>
      </c>
      <c r="C141" s="159" t="s">
        <v>897</v>
      </c>
      <c r="D141" s="159" t="s">
        <v>853</v>
      </c>
      <c r="E141" s="159" t="s">
        <v>858</v>
      </c>
      <c r="F141" s="159" t="s">
        <v>1090</v>
      </c>
      <c r="G141" s="159" t="s">
        <v>1091</v>
      </c>
      <c r="H141" s="159" t="s">
        <v>930</v>
      </c>
      <c r="I141" s="159" t="s">
        <v>937</v>
      </c>
      <c r="J141" s="159"/>
      <c r="K141" s="159"/>
      <c r="L141" s="159"/>
      <c r="M141" s="159"/>
      <c r="N141" s="159"/>
      <c r="O141" s="163"/>
      <c r="P141" s="157"/>
      <c r="Q141" s="157" t="s">
        <v>1245</v>
      </c>
    </row>
    <row r="142" spans="1:17" ht="24">
      <c r="A142" s="364"/>
      <c r="B142" s="159" t="s">
        <v>207</v>
      </c>
      <c r="C142" s="159" t="s">
        <v>1143</v>
      </c>
      <c r="D142" s="159" t="s">
        <v>853</v>
      </c>
      <c r="E142" s="159" t="s">
        <v>880</v>
      </c>
      <c r="F142" s="159" t="s">
        <v>1092</v>
      </c>
      <c r="G142" s="159" t="s">
        <v>1093</v>
      </c>
      <c r="H142" s="159" t="s">
        <v>930</v>
      </c>
      <c r="I142" s="163" t="s">
        <v>931</v>
      </c>
      <c r="J142" s="163" t="s">
        <v>1215</v>
      </c>
      <c r="K142" s="159"/>
      <c r="L142" s="159" t="s">
        <v>1246</v>
      </c>
      <c r="M142" s="159"/>
      <c r="N142" s="159"/>
      <c r="O142" s="159"/>
      <c r="P142" s="157"/>
      <c r="Q142" s="157" t="s">
        <v>1248</v>
      </c>
    </row>
    <row r="143" spans="1:17">
      <c r="A143" s="364"/>
      <c r="B143" s="159" t="s">
        <v>208</v>
      </c>
      <c r="C143" s="159" t="s">
        <v>894</v>
      </c>
      <c r="D143" s="159" t="s">
        <v>1068</v>
      </c>
      <c r="E143" s="159" t="s">
        <v>910</v>
      </c>
      <c r="F143" s="159" t="s">
        <v>1094</v>
      </c>
      <c r="G143" s="159" t="s">
        <v>1095</v>
      </c>
      <c r="H143" s="159" t="s">
        <v>930</v>
      </c>
      <c r="I143" s="163" t="s">
        <v>931</v>
      </c>
      <c r="J143" s="163" t="s">
        <v>1215</v>
      </c>
      <c r="K143" s="159"/>
      <c r="L143" s="163" t="s">
        <v>930</v>
      </c>
      <c r="M143" s="159"/>
      <c r="N143" s="159"/>
      <c r="O143" s="159"/>
      <c r="P143" s="157"/>
      <c r="Q143" s="157" t="s">
        <v>1100</v>
      </c>
    </row>
    <row r="144" spans="1:17">
      <c r="A144" s="364"/>
      <c r="B144" s="159" t="s">
        <v>209</v>
      </c>
      <c r="C144" s="159" t="s">
        <v>900</v>
      </c>
      <c r="D144" s="159" t="s">
        <v>1073</v>
      </c>
      <c r="E144" s="159" t="s">
        <v>912</v>
      </c>
      <c r="F144" s="159" t="s">
        <v>1096</v>
      </c>
      <c r="G144" s="159" t="s">
        <v>884</v>
      </c>
      <c r="H144" s="159"/>
      <c r="I144" s="159"/>
      <c r="J144" s="163" t="s">
        <v>1215</v>
      </c>
      <c r="K144" s="159"/>
      <c r="L144" s="159"/>
      <c r="M144" s="159"/>
      <c r="N144" s="159"/>
      <c r="O144" s="159"/>
      <c r="P144" s="157"/>
      <c r="Q144" s="157"/>
    </row>
    <row r="145" spans="1:18" ht="24">
      <c r="A145" s="362"/>
      <c r="B145" s="159" t="s">
        <v>210</v>
      </c>
      <c r="C145" s="159" t="s">
        <v>884</v>
      </c>
      <c r="D145" s="159" t="s">
        <v>1068</v>
      </c>
      <c r="E145" s="159" t="s">
        <v>1088</v>
      </c>
      <c r="F145" s="159" t="s">
        <v>896</v>
      </c>
      <c r="G145" s="159" t="s">
        <v>1097</v>
      </c>
      <c r="H145" s="159" t="s">
        <v>930</v>
      </c>
      <c r="I145" s="163" t="s">
        <v>931</v>
      </c>
      <c r="J145" s="163" t="s">
        <v>1215</v>
      </c>
      <c r="K145" s="159"/>
      <c r="L145" s="159"/>
      <c r="M145" s="159"/>
      <c r="N145" s="159"/>
      <c r="O145" s="163" t="s">
        <v>931</v>
      </c>
      <c r="P145" s="157"/>
      <c r="Q145" s="157" t="s">
        <v>1249</v>
      </c>
    </row>
    <row r="147" spans="1:18">
      <c r="A147" s="356" t="s">
        <v>1112</v>
      </c>
      <c r="B147" s="356" t="s">
        <v>844</v>
      </c>
      <c r="C147" s="361" t="s">
        <v>1142</v>
      </c>
      <c r="D147" s="356" t="s">
        <v>845</v>
      </c>
      <c r="E147" s="356" t="s">
        <v>846</v>
      </c>
      <c r="F147" s="356"/>
      <c r="G147" s="356"/>
      <c r="H147" s="356" t="s">
        <v>847</v>
      </c>
      <c r="I147" s="356"/>
      <c r="J147" s="356"/>
      <c r="K147" s="356"/>
      <c r="L147" s="356"/>
      <c r="M147" s="356"/>
      <c r="N147" s="356"/>
      <c r="O147" s="356" t="s">
        <v>868</v>
      </c>
      <c r="P147" s="355" t="s">
        <v>852</v>
      </c>
      <c r="Q147" s="355" t="s">
        <v>101</v>
      </c>
    </row>
    <row r="148" spans="1:18" ht="24">
      <c r="A148" s="356"/>
      <c r="B148" s="356"/>
      <c r="C148" s="362"/>
      <c r="D148" s="356"/>
      <c r="E148" s="159" t="s">
        <v>848</v>
      </c>
      <c r="F148" s="159" t="s">
        <v>849</v>
      </c>
      <c r="G148" s="159" t="s">
        <v>850</v>
      </c>
      <c r="H148" s="159" t="s">
        <v>929</v>
      </c>
      <c r="I148" s="159" t="s">
        <v>944</v>
      </c>
      <c r="J148" s="159" t="s">
        <v>851</v>
      </c>
      <c r="K148" s="159" t="s">
        <v>942</v>
      </c>
      <c r="L148" s="159" t="s">
        <v>956</v>
      </c>
      <c r="M148" s="159" t="s">
        <v>943</v>
      </c>
      <c r="N148" s="159" t="s">
        <v>1221</v>
      </c>
      <c r="O148" s="356"/>
      <c r="P148" s="355"/>
      <c r="Q148" s="355"/>
      <c r="R148" s="160" t="s">
        <v>945</v>
      </c>
    </row>
    <row r="149" spans="1:18">
      <c r="A149" s="356"/>
      <c r="B149" s="159" t="s">
        <v>164</v>
      </c>
      <c r="C149" s="159"/>
      <c r="D149" s="163" t="s">
        <v>853</v>
      </c>
      <c r="E149" s="163">
        <v>450</v>
      </c>
      <c r="F149" s="163">
        <v>240</v>
      </c>
      <c r="G149" s="163">
        <v>68</v>
      </c>
      <c r="H149" s="163"/>
      <c r="I149" s="163"/>
      <c r="J149" s="163"/>
      <c r="K149" s="159"/>
      <c r="L149" s="163"/>
      <c r="M149" s="159"/>
      <c r="N149" s="163"/>
      <c r="O149" s="159"/>
      <c r="P149" s="169"/>
      <c r="Q149" s="169"/>
    </row>
    <row r="150" spans="1:18">
      <c r="A150" s="356"/>
      <c r="B150" s="159" t="s">
        <v>165</v>
      </c>
      <c r="C150" s="159"/>
      <c r="D150" s="163" t="s">
        <v>1068</v>
      </c>
      <c r="E150" s="163">
        <v>540</v>
      </c>
      <c r="F150" s="163">
        <v>370</v>
      </c>
      <c r="G150" s="163">
        <v>54</v>
      </c>
      <c r="H150" s="163" t="s">
        <v>937</v>
      </c>
      <c r="I150" s="163"/>
      <c r="J150" s="163" t="s">
        <v>1215</v>
      </c>
      <c r="K150" s="159"/>
      <c r="L150" s="163" t="s">
        <v>930</v>
      </c>
      <c r="M150" s="159"/>
      <c r="N150" s="163"/>
      <c r="O150" s="163" t="s">
        <v>931</v>
      </c>
      <c r="P150" s="169" t="s">
        <v>935</v>
      </c>
      <c r="Q150" s="169" t="s">
        <v>1108</v>
      </c>
    </row>
    <row r="151" spans="1:18" ht="24">
      <c r="A151" s="356"/>
      <c r="B151" s="159" t="s">
        <v>168</v>
      </c>
      <c r="C151" s="159"/>
      <c r="D151" s="163" t="s">
        <v>1068</v>
      </c>
      <c r="E151" s="163">
        <v>320</v>
      </c>
      <c r="F151" s="163">
        <v>205</v>
      </c>
      <c r="G151" s="163">
        <v>60</v>
      </c>
      <c r="H151" s="163" t="s">
        <v>931</v>
      </c>
      <c r="I151" s="163" t="s">
        <v>931</v>
      </c>
      <c r="J151" s="163" t="s">
        <v>485</v>
      </c>
      <c r="K151" s="159"/>
      <c r="L151" s="163" t="s">
        <v>931</v>
      </c>
      <c r="M151" s="159"/>
      <c r="N151" s="163"/>
      <c r="O151" s="159"/>
      <c r="P151" s="169" t="s">
        <v>935</v>
      </c>
      <c r="Q151" s="169" t="s">
        <v>1250</v>
      </c>
    </row>
    <row r="152" spans="1:18">
      <c r="A152" s="356"/>
      <c r="B152" s="159" t="s">
        <v>169</v>
      </c>
      <c r="C152" s="159"/>
      <c r="D152" s="163" t="s">
        <v>1068</v>
      </c>
      <c r="E152" s="163">
        <v>565</v>
      </c>
      <c r="F152" s="163">
        <v>170</v>
      </c>
      <c r="G152" s="163">
        <v>45</v>
      </c>
      <c r="H152" s="163"/>
      <c r="I152" s="163"/>
      <c r="J152" s="163"/>
      <c r="K152" s="159"/>
      <c r="L152" s="163" t="s">
        <v>931</v>
      </c>
      <c r="M152" s="159"/>
      <c r="N152" s="163"/>
      <c r="O152" s="163" t="s">
        <v>931</v>
      </c>
      <c r="P152" s="169"/>
      <c r="Q152" s="169" t="s">
        <v>1251</v>
      </c>
    </row>
    <row r="153" spans="1:18">
      <c r="A153" s="356"/>
      <c r="B153" s="159" t="s">
        <v>108</v>
      </c>
      <c r="C153" s="159"/>
      <c r="D153" s="163" t="s">
        <v>1068</v>
      </c>
      <c r="E153" s="163">
        <v>565</v>
      </c>
      <c r="F153" s="163">
        <v>110</v>
      </c>
      <c r="G153" s="163">
        <v>21</v>
      </c>
      <c r="H153" s="163"/>
      <c r="I153" s="163"/>
      <c r="J153" s="163" t="s">
        <v>1215</v>
      </c>
      <c r="K153" s="159"/>
      <c r="L153" s="163" t="s">
        <v>930</v>
      </c>
      <c r="M153" s="159"/>
      <c r="N153" s="163"/>
      <c r="O153" s="163"/>
      <c r="P153" s="169"/>
      <c r="Q153" s="169"/>
    </row>
    <row r="154" spans="1:18">
      <c r="A154" s="356"/>
      <c r="B154" s="159" t="s">
        <v>198</v>
      </c>
      <c r="C154" s="159"/>
      <c r="D154" s="159" t="s">
        <v>1068</v>
      </c>
      <c r="E154" s="159" t="s">
        <v>1101</v>
      </c>
      <c r="F154" s="159" t="s">
        <v>1102</v>
      </c>
      <c r="G154" s="159" t="s">
        <v>1080</v>
      </c>
      <c r="H154" s="159"/>
      <c r="I154" s="163"/>
      <c r="J154" s="163"/>
      <c r="K154" s="159"/>
      <c r="L154" s="159"/>
      <c r="M154" s="159"/>
      <c r="N154" s="159"/>
      <c r="O154" s="159"/>
      <c r="P154" s="157" t="s">
        <v>935</v>
      </c>
      <c r="Q154" s="157"/>
    </row>
    <row r="155" spans="1:18">
      <c r="A155" s="356"/>
      <c r="B155" s="159" t="s">
        <v>199</v>
      </c>
      <c r="C155" s="159"/>
      <c r="D155" s="159" t="s">
        <v>1068</v>
      </c>
      <c r="E155" s="159" t="s">
        <v>1103</v>
      </c>
      <c r="F155" s="159" t="s">
        <v>905</v>
      </c>
      <c r="G155" s="159" t="s">
        <v>1104</v>
      </c>
      <c r="H155" s="163" t="s">
        <v>931</v>
      </c>
      <c r="I155" s="159"/>
      <c r="J155" s="163" t="s">
        <v>1216</v>
      </c>
      <c r="K155" s="159"/>
      <c r="L155" s="163"/>
      <c r="M155" s="159"/>
      <c r="N155" s="163" t="s">
        <v>1222</v>
      </c>
      <c r="O155" s="163"/>
      <c r="P155" s="157" t="s">
        <v>935</v>
      </c>
      <c r="Q155" s="157" t="s">
        <v>1109</v>
      </c>
    </row>
    <row r="156" spans="1:18">
      <c r="A156" s="356"/>
      <c r="B156" s="159" t="s">
        <v>200</v>
      </c>
      <c r="C156" s="159"/>
      <c r="D156" s="159" t="s">
        <v>1068</v>
      </c>
      <c r="E156" s="159" t="s">
        <v>896</v>
      </c>
      <c r="F156" s="159" t="s">
        <v>1102</v>
      </c>
      <c r="G156" s="159" t="s">
        <v>866</v>
      </c>
      <c r="H156" s="159"/>
      <c r="I156" s="163"/>
      <c r="J156" s="163"/>
      <c r="K156" s="159"/>
      <c r="L156" s="159"/>
      <c r="M156" s="159"/>
      <c r="N156" s="159"/>
      <c r="O156" s="159"/>
      <c r="P156" s="157" t="s">
        <v>935</v>
      </c>
      <c r="Q156" s="157"/>
    </row>
    <row r="157" spans="1:18">
      <c r="A157" s="356"/>
      <c r="B157" s="159" t="s">
        <v>201</v>
      </c>
      <c r="C157" s="159"/>
      <c r="D157" s="159" t="s">
        <v>853</v>
      </c>
      <c r="E157" s="159" t="s">
        <v>901</v>
      </c>
      <c r="F157" s="159" t="s">
        <v>1090</v>
      </c>
      <c r="G157" s="159" t="s">
        <v>1105</v>
      </c>
      <c r="H157" s="163" t="s">
        <v>931</v>
      </c>
      <c r="I157" s="163" t="s">
        <v>931</v>
      </c>
      <c r="J157" s="163" t="s">
        <v>1215</v>
      </c>
      <c r="K157" s="159"/>
      <c r="L157" s="159"/>
      <c r="M157" s="163" t="s">
        <v>931</v>
      </c>
      <c r="N157" s="159"/>
      <c r="O157" s="163"/>
      <c r="P157" s="157" t="s">
        <v>935</v>
      </c>
      <c r="Q157" s="157" t="s">
        <v>1110</v>
      </c>
    </row>
    <row r="158" spans="1:18" ht="24">
      <c r="A158" s="356"/>
      <c r="B158" s="159" t="s">
        <v>202</v>
      </c>
      <c r="C158" s="159"/>
      <c r="D158" s="159" t="s">
        <v>1068</v>
      </c>
      <c r="E158" s="159" t="s">
        <v>1106</v>
      </c>
      <c r="F158" s="159" t="s">
        <v>1102</v>
      </c>
      <c r="G158" s="159" t="s">
        <v>1107</v>
      </c>
      <c r="H158" s="159" t="s">
        <v>939</v>
      </c>
      <c r="I158" s="159"/>
      <c r="J158" s="163"/>
      <c r="K158" s="159"/>
      <c r="L158" s="163"/>
      <c r="M158" s="159"/>
      <c r="N158" s="163" t="s">
        <v>931</v>
      </c>
      <c r="O158" s="159"/>
      <c r="P158" s="157" t="s">
        <v>935</v>
      </c>
      <c r="Q158" s="157" t="s">
        <v>1111</v>
      </c>
    </row>
    <row r="160" spans="1:18" ht="16.5" customHeight="1">
      <c r="A160" s="361" t="s">
        <v>1115</v>
      </c>
      <c r="B160" s="356" t="s">
        <v>844</v>
      </c>
      <c r="C160" s="361" t="s">
        <v>1142</v>
      </c>
      <c r="D160" s="356" t="s">
        <v>845</v>
      </c>
      <c r="E160" s="356" t="s">
        <v>846</v>
      </c>
      <c r="F160" s="356"/>
      <c r="G160" s="356"/>
      <c r="H160" s="356" t="s">
        <v>847</v>
      </c>
      <c r="I160" s="356"/>
      <c r="J160" s="356"/>
      <c r="K160" s="356"/>
      <c r="L160" s="356"/>
      <c r="M160" s="356"/>
      <c r="N160" s="356"/>
      <c r="O160" s="356" t="s">
        <v>868</v>
      </c>
      <c r="P160" s="355" t="s">
        <v>852</v>
      </c>
      <c r="Q160" s="355" t="s">
        <v>101</v>
      </c>
    </row>
    <row r="161" spans="1:18" ht="24">
      <c r="A161" s="362"/>
      <c r="B161" s="356"/>
      <c r="C161" s="362"/>
      <c r="D161" s="356"/>
      <c r="E161" s="159" t="s">
        <v>848</v>
      </c>
      <c r="F161" s="159" t="s">
        <v>849</v>
      </c>
      <c r="G161" s="159" t="s">
        <v>850</v>
      </c>
      <c r="H161" s="159" t="s">
        <v>929</v>
      </c>
      <c r="I161" s="159" t="s">
        <v>944</v>
      </c>
      <c r="J161" s="159" t="s">
        <v>851</v>
      </c>
      <c r="K161" s="159" t="s">
        <v>1255</v>
      </c>
      <c r="L161" s="159" t="s">
        <v>956</v>
      </c>
      <c r="M161" s="159" t="s">
        <v>943</v>
      </c>
      <c r="N161" s="159" t="s">
        <v>1221</v>
      </c>
      <c r="O161" s="356"/>
      <c r="P161" s="355"/>
      <c r="Q161" s="355"/>
      <c r="R161" s="160" t="s">
        <v>945</v>
      </c>
    </row>
    <row r="162" spans="1:18">
      <c r="A162" s="361" t="s">
        <v>162</v>
      </c>
      <c r="B162" s="159" t="s">
        <v>164</v>
      </c>
      <c r="C162" s="159"/>
      <c r="D162" s="163" t="s">
        <v>853</v>
      </c>
      <c r="E162" s="163">
        <v>360</v>
      </c>
      <c r="F162" s="163">
        <v>215</v>
      </c>
      <c r="G162" s="163">
        <v>21</v>
      </c>
      <c r="H162" s="163"/>
      <c r="I162" s="163"/>
      <c r="J162" s="163"/>
      <c r="K162" s="159"/>
      <c r="L162" s="163"/>
      <c r="M162" s="159"/>
      <c r="N162" s="163"/>
      <c r="O162" s="159"/>
      <c r="P162" s="169" t="s">
        <v>1146</v>
      </c>
      <c r="Q162" s="169"/>
    </row>
    <row r="163" spans="1:18">
      <c r="A163" s="364"/>
      <c r="B163" s="159" t="s">
        <v>165</v>
      </c>
      <c r="C163" s="159"/>
      <c r="D163" s="163" t="s">
        <v>1068</v>
      </c>
      <c r="E163" s="163">
        <v>405</v>
      </c>
      <c r="F163" s="163">
        <v>240</v>
      </c>
      <c r="G163" s="163">
        <v>28</v>
      </c>
      <c r="H163" s="163"/>
      <c r="I163" s="163"/>
      <c r="J163" s="163"/>
      <c r="K163" s="159"/>
      <c r="L163" s="163"/>
      <c r="M163" s="159"/>
      <c r="N163" s="163"/>
      <c r="O163" s="163"/>
      <c r="P163" s="169"/>
      <c r="Q163" s="169"/>
    </row>
    <row r="164" spans="1:18">
      <c r="A164" s="364"/>
      <c r="B164" s="159" t="s">
        <v>167</v>
      </c>
      <c r="C164" s="159"/>
      <c r="D164" s="163" t="s">
        <v>1068</v>
      </c>
      <c r="E164" s="163">
        <v>480</v>
      </c>
      <c r="F164" s="163">
        <v>290</v>
      </c>
      <c r="G164" s="163">
        <v>25</v>
      </c>
      <c r="H164" s="163"/>
      <c r="I164" s="163"/>
      <c r="J164" s="163"/>
      <c r="K164" s="159"/>
      <c r="L164" s="163"/>
      <c r="M164" s="159"/>
      <c r="N164" s="163"/>
      <c r="O164" s="159"/>
      <c r="P164" s="169" t="s">
        <v>1147</v>
      </c>
      <c r="Q164" s="169"/>
    </row>
    <row r="165" spans="1:18">
      <c r="A165" s="362"/>
      <c r="B165" s="159" t="s">
        <v>169</v>
      </c>
      <c r="C165" s="159"/>
      <c r="D165" s="163" t="s">
        <v>1068</v>
      </c>
      <c r="E165" s="163">
        <v>390</v>
      </c>
      <c r="F165" s="163">
        <v>235</v>
      </c>
      <c r="G165" s="163">
        <v>17</v>
      </c>
      <c r="H165" s="163"/>
      <c r="I165" s="163"/>
      <c r="J165" s="163"/>
      <c r="K165" s="159"/>
      <c r="L165" s="163"/>
      <c r="M165" s="159"/>
      <c r="N165" s="163"/>
      <c r="O165" s="163"/>
      <c r="P165" s="169"/>
      <c r="Q165" s="169"/>
    </row>
    <row r="166" spans="1:18" ht="24">
      <c r="A166" s="368"/>
      <c r="B166" s="159" t="s">
        <v>164</v>
      </c>
      <c r="C166" s="159" t="s">
        <v>164</v>
      </c>
      <c r="D166" s="163" t="s">
        <v>1068</v>
      </c>
      <c r="E166" s="163">
        <v>460</v>
      </c>
      <c r="F166" s="163">
        <v>240</v>
      </c>
      <c r="G166" s="163">
        <v>35</v>
      </c>
      <c r="H166" s="163"/>
      <c r="I166" s="163"/>
      <c r="J166" s="163"/>
      <c r="K166" s="159"/>
      <c r="L166" s="163"/>
      <c r="M166" s="159"/>
      <c r="N166" s="163"/>
      <c r="O166" s="163"/>
      <c r="P166" s="169" t="s">
        <v>1161</v>
      </c>
      <c r="Q166" s="169"/>
    </row>
    <row r="167" spans="1:18" ht="36">
      <c r="A167" s="369"/>
      <c r="B167" s="159" t="s">
        <v>165</v>
      </c>
      <c r="C167" s="159" t="s">
        <v>166</v>
      </c>
      <c r="D167" s="159" t="s">
        <v>853</v>
      </c>
      <c r="E167" s="159" t="s">
        <v>1148</v>
      </c>
      <c r="F167" s="159" t="s">
        <v>1149</v>
      </c>
      <c r="G167" s="159" t="s">
        <v>1150</v>
      </c>
      <c r="H167" s="163" t="s">
        <v>931</v>
      </c>
      <c r="I167" s="163"/>
      <c r="J167" s="163"/>
      <c r="K167" s="159"/>
      <c r="L167" s="163"/>
      <c r="M167" s="159" t="s">
        <v>930</v>
      </c>
      <c r="N167" s="159" t="s">
        <v>1222</v>
      </c>
      <c r="O167" s="159"/>
      <c r="P167" s="157" t="s">
        <v>935</v>
      </c>
      <c r="Q167" s="157" t="s">
        <v>1158</v>
      </c>
    </row>
    <row r="168" spans="1:18" ht="24">
      <c r="A168" s="369"/>
      <c r="B168" s="159" t="s">
        <v>167</v>
      </c>
      <c r="C168" s="159" t="s">
        <v>168</v>
      </c>
      <c r="D168" s="159" t="s">
        <v>853</v>
      </c>
      <c r="E168" s="159" t="s">
        <v>1090</v>
      </c>
      <c r="F168" s="159" t="s">
        <v>1076</v>
      </c>
      <c r="G168" s="159" t="s">
        <v>1097</v>
      </c>
      <c r="H168" s="163" t="s">
        <v>931</v>
      </c>
      <c r="I168" s="163" t="s">
        <v>931</v>
      </c>
      <c r="J168" s="163" t="s">
        <v>1215</v>
      </c>
      <c r="K168" s="159"/>
      <c r="L168" s="163"/>
      <c r="M168" s="159"/>
      <c r="N168" s="163" t="s">
        <v>930</v>
      </c>
      <c r="O168" s="163"/>
      <c r="P168" s="157" t="s">
        <v>935</v>
      </c>
      <c r="Q168" s="157" t="s">
        <v>1159</v>
      </c>
    </row>
    <row r="169" spans="1:18" ht="36">
      <c r="A169" s="369"/>
      <c r="B169" s="159" t="s">
        <v>169</v>
      </c>
      <c r="C169" s="159" t="s">
        <v>170</v>
      </c>
      <c r="D169" s="159" t="s">
        <v>1068</v>
      </c>
      <c r="E169" s="159" t="s">
        <v>1151</v>
      </c>
      <c r="F169" s="159" t="s">
        <v>1152</v>
      </c>
      <c r="G169" s="159" t="s">
        <v>1153</v>
      </c>
      <c r="H169" s="163" t="s">
        <v>931</v>
      </c>
      <c r="I169" s="163" t="s">
        <v>931</v>
      </c>
      <c r="J169" s="163" t="s">
        <v>1216</v>
      </c>
      <c r="K169" s="159"/>
      <c r="L169" s="163" t="s">
        <v>931</v>
      </c>
      <c r="M169" s="159"/>
      <c r="N169" s="159" t="s">
        <v>1222</v>
      </c>
      <c r="O169" s="159" t="s">
        <v>1252</v>
      </c>
      <c r="P169" s="157" t="s">
        <v>1162</v>
      </c>
      <c r="Q169" s="157" t="s">
        <v>1160</v>
      </c>
    </row>
    <row r="170" spans="1:18" ht="24">
      <c r="A170" s="369"/>
      <c r="B170" s="159" t="s">
        <v>198</v>
      </c>
      <c r="C170" s="159" t="s">
        <v>110</v>
      </c>
      <c r="D170" s="159" t="s">
        <v>853</v>
      </c>
      <c r="E170" s="159" t="s">
        <v>1154</v>
      </c>
      <c r="F170" s="159" t="s">
        <v>1090</v>
      </c>
      <c r="G170" s="159" t="s">
        <v>1155</v>
      </c>
      <c r="H170" s="163" t="s">
        <v>931</v>
      </c>
      <c r="I170" s="163" t="s">
        <v>931</v>
      </c>
      <c r="J170" s="163" t="s">
        <v>485</v>
      </c>
      <c r="K170" s="159"/>
      <c r="L170" s="159" t="s">
        <v>931</v>
      </c>
      <c r="M170" s="163"/>
      <c r="N170" s="159"/>
      <c r="O170" s="163"/>
      <c r="P170" s="157"/>
      <c r="Q170" s="157" t="s">
        <v>1253</v>
      </c>
    </row>
    <row r="171" spans="1:18" ht="24">
      <c r="A171" s="369"/>
      <c r="B171" s="159" t="s">
        <v>199</v>
      </c>
      <c r="C171" s="159" t="s">
        <v>111</v>
      </c>
      <c r="D171" s="162" t="s">
        <v>1068</v>
      </c>
      <c r="E171" s="159" t="s">
        <v>912</v>
      </c>
      <c r="F171" s="159" t="s">
        <v>878</v>
      </c>
      <c r="G171" s="159" t="s">
        <v>1150</v>
      </c>
      <c r="H171" s="163" t="s">
        <v>931</v>
      </c>
      <c r="I171" s="163" t="s">
        <v>931</v>
      </c>
      <c r="J171" s="163"/>
      <c r="K171" s="159"/>
      <c r="L171" s="163" t="s">
        <v>930</v>
      </c>
      <c r="M171" s="159"/>
      <c r="N171" s="163"/>
      <c r="O171" s="159"/>
      <c r="P171" s="157" t="s">
        <v>1163</v>
      </c>
      <c r="Q171" s="157" t="s">
        <v>1254</v>
      </c>
    </row>
    <row r="172" spans="1:18" ht="36">
      <c r="A172" s="369"/>
      <c r="B172" s="159" t="s">
        <v>200</v>
      </c>
      <c r="C172" s="163">
        <v>7</v>
      </c>
      <c r="D172" s="159" t="s">
        <v>1068</v>
      </c>
      <c r="E172" s="159" t="s">
        <v>912</v>
      </c>
      <c r="F172" s="159" t="s">
        <v>1156</v>
      </c>
      <c r="G172" s="159" t="s">
        <v>1157</v>
      </c>
      <c r="H172" s="163" t="s">
        <v>931</v>
      </c>
      <c r="I172" s="163" t="s">
        <v>931</v>
      </c>
      <c r="J172" s="163" t="s">
        <v>1215</v>
      </c>
      <c r="K172" s="159" t="s">
        <v>1247</v>
      </c>
      <c r="L172" s="159"/>
      <c r="M172" s="159" t="s">
        <v>930</v>
      </c>
      <c r="N172" s="159"/>
      <c r="O172" s="159"/>
      <c r="P172" s="157" t="s">
        <v>1164</v>
      </c>
      <c r="Q172" s="157" t="s">
        <v>1256</v>
      </c>
    </row>
    <row r="173" spans="1:18" ht="23.25" customHeight="1">
      <c r="A173" s="369"/>
      <c r="B173" s="159" t="s">
        <v>201</v>
      </c>
      <c r="C173" s="163">
        <v>8</v>
      </c>
      <c r="D173" s="159" t="s">
        <v>853</v>
      </c>
      <c r="E173" s="159" t="s">
        <v>1166</v>
      </c>
      <c r="F173" s="159" t="s">
        <v>908</v>
      </c>
      <c r="G173" s="159" t="s">
        <v>1077</v>
      </c>
      <c r="H173" s="159" t="s">
        <v>930</v>
      </c>
      <c r="I173" s="159"/>
      <c r="J173" s="159" t="s">
        <v>1215</v>
      </c>
      <c r="K173" s="159"/>
      <c r="L173" s="159"/>
      <c r="M173" s="159"/>
      <c r="N173" s="159"/>
      <c r="O173" s="159"/>
      <c r="P173" s="157"/>
      <c r="Q173" s="157" t="s">
        <v>1195</v>
      </c>
    </row>
    <row r="174" spans="1:18" ht="24">
      <c r="A174" s="369"/>
      <c r="B174" s="159" t="s">
        <v>202</v>
      </c>
      <c r="C174" s="163">
        <v>9</v>
      </c>
      <c r="D174" s="159" t="s">
        <v>853</v>
      </c>
      <c r="E174" s="159" t="s">
        <v>1167</v>
      </c>
      <c r="F174" s="159" t="s">
        <v>1168</v>
      </c>
      <c r="G174" s="159" t="s">
        <v>860</v>
      </c>
      <c r="H174" s="159" t="s">
        <v>930</v>
      </c>
      <c r="I174" s="159" t="s">
        <v>930</v>
      </c>
      <c r="J174" s="159"/>
      <c r="K174" s="159"/>
      <c r="L174" s="159"/>
      <c r="M174" s="159"/>
      <c r="N174" s="159"/>
      <c r="O174" s="159"/>
      <c r="P174" s="157" t="s">
        <v>1194</v>
      </c>
      <c r="Q174" s="157" t="s">
        <v>1196</v>
      </c>
    </row>
    <row r="175" spans="1:18">
      <c r="A175" s="369"/>
      <c r="B175" s="159" t="s">
        <v>203</v>
      </c>
      <c r="C175" s="163">
        <v>10</v>
      </c>
      <c r="D175" s="159" t="s">
        <v>853</v>
      </c>
      <c r="E175" s="159" t="s">
        <v>1086</v>
      </c>
      <c r="F175" s="159" t="s">
        <v>1169</v>
      </c>
      <c r="G175" s="159" t="s">
        <v>891</v>
      </c>
      <c r="H175" s="159" t="s">
        <v>930</v>
      </c>
      <c r="I175" s="159" t="s">
        <v>930</v>
      </c>
      <c r="J175" s="159"/>
      <c r="K175" s="159"/>
      <c r="L175" s="159"/>
      <c r="M175" s="159"/>
      <c r="N175" s="159"/>
      <c r="O175" s="159"/>
      <c r="P175" s="157" t="s">
        <v>1208</v>
      </c>
      <c r="Q175" s="157" t="s">
        <v>1257</v>
      </c>
    </row>
    <row r="176" spans="1:18" ht="36">
      <c r="A176" s="369"/>
      <c r="B176" s="159" t="s">
        <v>204</v>
      </c>
      <c r="C176" s="163">
        <v>11</v>
      </c>
      <c r="D176" s="163" t="s">
        <v>966</v>
      </c>
      <c r="E176" s="159" t="s">
        <v>912</v>
      </c>
      <c r="F176" s="159" t="s">
        <v>902</v>
      </c>
      <c r="G176" s="159" t="s">
        <v>1170</v>
      </c>
      <c r="H176" s="159" t="s">
        <v>930</v>
      </c>
      <c r="I176" s="159" t="s">
        <v>931</v>
      </c>
      <c r="J176" s="159" t="s">
        <v>1215</v>
      </c>
      <c r="K176" s="159"/>
      <c r="L176" s="159"/>
      <c r="M176" s="159"/>
      <c r="N176" s="159" t="s">
        <v>1222</v>
      </c>
      <c r="O176" s="159"/>
      <c r="P176" s="157"/>
      <c r="Q176" s="157" t="s">
        <v>1197</v>
      </c>
    </row>
    <row r="177" spans="1:17" ht="24">
      <c r="A177" s="369"/>
      <c r="B177" s="159" t="s">
        <v>205</v>
      </c>
      <c r="C177" s="163" t="s">
        <v>1144</v>
      </c>
      <c r="D177" s="163" t="s">
        <v>966</v>
      </c>
      <c r="E177" s="159" t="s">
        <v>858</v>
      </c>
      <c r="F177" s="159" t="s">
        <v>878</v>
      </c>
      <c r="G177" s="159" t="s">
        <v>1077</v>
      </c>
      <c r="H177" s="159" t="s">
        <v>939</v>
      </c>
      <c r="I177" s="159"/>
      <c r="J177" s="159" t="s">
        <v>1225</v>
      </c>
      <c r="K177" s="159"/>
      <c r="L177" s="159"/>
      <c r="M177" s="159"/>
      <c r="N177" s="159"/>
      <c r="O177" s="159"/>
      <c r="P177" s="157"/>
      <c r="Q177" s="157" t="s">
        <v>1258</v>
      </c>
    </row>
    <row r="178" spans="1:17">
      <c r="A178" s="369"/>
      <c r="B178" s="159" t="s">
        <v>206</v>
      </c>
      <c r="C178" s="163">
        <v>12</v>
      </c>
      <c r="D178" s="163" t="s">
        <v>966</v>
      </c>
      <c r="E178" s="159" t="s">
        <v>1171</v>
      </c>
      <c r="F178" s="159" t="s">
        <v>896</v>
      </c>
      <c r="G178" s="159" t="s">
        <v>1155</v>
      </c>
      <c r="H178" s="159" t="s">
        <v>930</v>
      </c>
      <c r="I178" s="159" t="s">
        <v>931</v>
      </c>
      <c r="J178" s="159"/>
      <c r="K178" s="159"/>
      <c r="L178" s="159"/>
      <c r="M178" s="159"/>
      <c r="N178" s="159"/>
      <c r="O178" s="159"/>
      <c r="P178" s="157" t="s">
        <v>935</v>
      </c>
      <c r="Q178" s="157" t="s">
        <v>1198</v>
      </c>
    </row>
    <row r="179" spans="1:17" ht="24">
      <c r="A179" s="369"/>
      <c r="B179" s="159" t="s">
        <v>207</v>
      </c>
      <c r="C179" s="163">
        <v>13</v>
      </c>
      <c r="D179" s="163" t="s">
        <v>1165</v>
      </c>
      <c r="E179" s="159" t="s">
        <v>872</v>
      </c>
      <c r="F179" s="159" t="s">
        <v>1172</v>
      </c>
      <c r="G179" s="159" t="s">
        <v>876</v>
      </c>
      <c r="H179" s="159" t="s">
        <v>931</v>
      </c>
      <c r="I179" s="159" t="s">
        <v>930</v>
      </c>
      <c r="J179" s="159"/>
      <c r="K179" s="159"/>
      <c r="L179" s="159"/>
      <c r="M179" s="159"/>
      <c r="N179" s="159"/>
      <c r="O179" s="159"/>
      <c r="P179" s="157" t="s">
        <v>1209</v>
      </c>
      <c r="Q179" s="157" t="s">
        <v>1259</v>
      </c>
    </row>
    <row r="180" spans="1:17" ht="24">
      <c r="A180" s="369"/>
      <c r="B180" s="159" t="s">
        <v>208</v>
      </c>
      <c r="C180" s="163">
        <v>14</v>
      </c>
      <c r="D180" s="163" t="s">
        <v>966</v>
      </c>
      <c r="E180" s="159" t="s">
        <v>908</v>
      </c>
      <c r="F180" s="159" t="s">
        <v>1173</v>
      </c>
      <c r="G180" s="159" t="s">
        <v>876</v>
      </c>
      <c r="H180" s="159" t="s">
        <v>930</v>
      </c>
      <c r="I180" s="159"/>
      <c r="J180" s="159"/>
      <c r="K180" s="159"/>
      <c r="L180" s="159" t="s">
        <v>930</v>
      </c>
      <c r="M180" s="159"/>
      <c r="N180" s="159"/>
      <c r="O180" s="159"/>
      <c r="P180" s="157" t="s">
        <v>1211</v>
      </c>
      <c r="Q180" s="157" t="s">
        <v>1260</v>
      </c>
    </row>
    <row r="181" spans="1:17" ht="22.5" customHeight="1">
      <c r="A181" s="369"/>
      <c r="B181" s="159" t="s">
        <v>209</v>
      </c>
      <c r="C181" s="163">
        <v>15</v>
      </c>
      <c r="D181" s="163" t="s">
        <v>1165</v>
      </c>
      <c r="E181" s="159" t="s">
        <v>1087</v>
      </c>
      <c r="F181" s="159" t="s">
        <v>878</v>
      </c>
      <c r="G181" s="159" t="s">
        <v>1105</v>
      </c>
      <c r="H181" s="159" t="s">
        <v>931</v>
      </c>
      <c r="I181" s="159"/>
      <c r="J181" s="159"/>
      <c r="K181" s="159"/>
      <c r="L181" s="159" t="s">
        <v>930</v>
      </c>
      <c r="M181" s="159"/>
      <c r="N181" s="159"/>
      <c r="O181" s="159"/>
      <c r="P181" s="157" t="s">
        <v>1212</v>
      </c>
      <c r="Q181" s="157" t="s">
        <v>1261</v>
      </c>
    </row>
    <row r="182" spans="1:17" ht="24">
      <c r="A182" s="369"/>
      <c r="B182" s="159" t="s">
        <v>210</v>
      </c>
      <c r="C182" s="163" t="s">
        <v>181</v>
      </c>
      <c r="D182" s="163" t="s">
        <v>966</v>
      </c>
      <c r="E182" s="159" t="s">
        <v>1174</v>
      </c>
      <c r="F182" s="159" t="s">
        <v>908</v>
      </c>
      <c r="G182" s="159" t="s">
        <v>577</v>
      </c>
      <c r="H182" s="159" t="s">
        <v>939</v>
      </c>
      <c r="I182" s="159"/>
      <c r="J182" s="159"/>
      <c r="K182" s="159"/>
      <c r="L182" s="159" t="s">
        <v>930</v>
      </c>
      <c r="M182" s="159"/>
      <c r="N182" s="159"/>
      <c r="O182" s="159"/>
      <c r="P182" s="157" t="s">
        <v>1210</v>
      </c>
      <c r="Q182" s="157" t="s">
        <v>1199</v>
      </c>
    </row>
    <row r="183" spans="1:17" ht="21" customHeight="1">
      <c r="A183" s="369"/>
      <c r="B183" s="159" t="s">
        <v>211</v>
      </c>
      <c r="C183" s="163" t="s">
        <v>182</v>
      </c>
      <c r="D183" s="163" t="s">
        <v>966</v>
      </c>
      <c r="E183" s="159" t="s">
        <v>1175</v>
      </c>
      <c r="F183" s="159" t="s">
        <v>1176</v>
      </c>
      <c r="G183" s="159" t="s">
        <v>577</v>
      </c>
      <c r="H183" s="159"/>
      <c r="I183" s="159"/>
      <c r="J183" s="159"/>
      <c r="K183" s="159"/>
      <c r="L183" s="159"/>
      <c r="M183" s="159"/>
      <c r="N183" s="159"/>
      <c r="O183" s="159"/>
      <c r="P183" s="157" t="s">
        <v>1213</v>
      </c>
      <c r="Q183" s="157" t="s">
        <v>1200</v>
      </c>
    </row>
    <row r="184" spans="1:17" ht="24">
      <c r="A184" s="369"/>
      <c r="B184" s="159" t="s">
        <v>212</v>
      </c>
      <c r="C184" s="163">
        <v>16</v>
      </c>
      <c r="D184" s="163" t="s">
        <v>954</v>
      </c>
      <c r="E184" s="159" t="s">
        <v>1177</v>
      </c>
      <c r="F184" s="159" t="s">
        <v>905</v>
      </c>
      <c r="G184" s="159" t="s">
        <v>1095</v>
      </c>
      <c r="H184" s="159" t="s">
        <v>930</v>
      </c>
      <c r="I184" s="159" t="s">
        <v>931</v>
      </c>
      <c r="J184" s="159" t="s">
        <v>1215</v>
      </c>
      <c r="K184" s="159"/>
      <c r="L184" s="159" t="s">
        <v>930</v>
      </c>
      <c r="M184" s="159"/>
      <c r="N184" s="159"/>
      <c r="O184" s="159"/>
      <c r="P184" s="157" t="s">
        <v>935</v>
      </c>
      <c r="Q184" s="157" t="s">
        <v>1201</v>
      </c>
    </row>
    <row r="185" spans="1:17" ht="24">
      <c r="A185" s="369"/>
      <c r="B185" s="159" t="s">
        <v>213</v>
      </c>
      <c r="C185" s="163">
        <v>17</v>
      </c>
      <c r="D185" s="163" t="s">
        <v>970</v>
      </c>
      <c r="E185" s="159" t="s">
        <v>1178</v>
      </c>
      <c r="F185" s="159" t="s">
        <v>1156</v>
      </c>
      <c r="G185" s="159" t="s">
        <v>1179</v>
      </c>
      <c r="H185" s="159" t="s">
        <v>931</v>
      </c>
      <c r="I185" s="159" t="s">
        <v>931</v>
      </c>
      <c r="J185" s="159" t="s">
        <v>1215</v>
      </c>
      <c r="K185" s="159"/>
      <c r="L185" s="159" t="s">
        <v>931</v>
      </c>
      <c r="M185" s="159"/>
      <c r="N185" s="159"/>
      <c r="O185" s="159"/>
      <c r="P185" s="157" t="s">
        <v>935</v>
      </c>
      <c r="Q185" s="157" t="s">
        <v>1202</v>
      </c>
    </row>
    <row r="186" spans="1:17" ht="24">
      <c r="A186" s="369"/>
      <c r="B186" s="159" t="s">
        <v>214</v>
      </c>
      <c r="C186" s="163">
        <v>18</v>
      </c>
      <c r="D186" s="163" t="s">
        <v>966</v>
      </c>
      <c r="E186" s="159" t="s">
        <v>1180</v>
      </c>
      <c r="F186" s="159" t="s">
        <v>1079</v>
      </c>
      <c r="G186" s="159" t="s">
        <v>891</v>
      </c>
      <c r="H186" s="159"/>
      <c r="I186" s="159"/>
      <c r="J186" s="159"/>
      <c r="K186" s="159"/>
      <c r="L186" s="159" t="s">
        <v>1247</v>
      </c>
      <c r="M186" s="159"/>
      <c r="N186" s="159"/>
      <c r="O186" s="159"/>
      <c r="P186" s="157"/>
      <c r="Q186" s="157" t="s">
        <v>1262</v>
      </c>
    </row>
    <row r="187" spans="1:17">
      <c r="A187" s="369"/>
      <c r="B187" s="159" t="s">
        <v>215</v>
      </c>
      <c r="C187" s="163" t="s">
        <v>185</v>
      </c>
      <c r="D187" s="163" t="s">
        <v>970</v>
      </c>
      <c r="E187" s="159" t="s">
        <v>1181</v>
      </c>
      <c r="F187" s="159" t="s">
        <v>1182</v>
      </c>
      <c r="G187" s="159" t="s">
        <v>579</v>
      </c>
      <c r="H187" s="159"/>
      <c r="I187" s="159"/>
      <c r="J187" s="159"/>
      <c r="K187" s="159"/>
      <c r="L187" s="159"/>
      <c r="M187" s="159"/>
      <c r="N187" s="159"/>
      <c r="O187" s="159"/>
      <c r="P187" s="157"/>
      <c r="Q187" s="157" t="s">
        <v>593</v>
      </c>
    </row>
    <row r="188" spans="1:17">
      <c r="A188" s="369"/>
      <c r="B188" s="159" t="s">
        <v>216</v>
      </c>
      <c r="C188" s="163">
        <v>19</v>
      </c>
      <c r="D188" s="163" t="s">
        <v>970</v>
      </c>
      <c r="E188" s="159" t="s">
        <v>1090</v>
      </c>
      <c r="F188" s="159" t="s">
        <v>1183</v>
      </c>
      <c r="G188" s="159" t="s">
        <v>1184</v>
      </c>
      <c r="H188" s="159"/>
      <c r="I188" s="159"/>
      <c r="J188" s="159"/>
      <c r="K188" s="159"/>
      <c r="L188" s="159"/>
      <c r="M188" s="159"/>
      <c r="N188" s="159"/>
      <c r="O188" s="159"/>
      <c r="P188" s="157" t="s">
        <v>935</v>
      </c>
      <c r="Q188" s="157" t="s">
        <v>1203</v>
      </c>
    </row>
    <row r="189" spans="1:17">
      <c r="A189" s="369"/>
      <c r="B189" s="159" t="s">
        <v>217</v>
      </c>
      <c r="C189" s="163">
        <v>20</v>
      </c>
      <c r="D189" s="163" t="s">
        <v>970</v>
      </c>
      <c r="E189" s="159" t="s">
        <v>905</v>
      </c>
      <c r="F189" s="159" t="s">
        <v>1181</v>
      </c>
      <c r="G189" s="159" t="s">
        <v>876</v>
      </c>
      <c r="H189" s="159"/>
      <c r="I189" s="159"/>
      <c r="J189" s="159"/>
      <c r="K189" s="159"/>
      <c r="L189" s="159"/>
      <c r="M189" s="159"/>
      <c r="N189" s="159"/>
      <c r="O189" s="159"/>
      <c r="P189" s="157" t="s">
        <v>935</v>
      </c>
      <c r="Q189" s="157" t="s">
        <v>1204</v>
      </c>
    </row>
    <row r="190" spans="1:17" ht="24">
      <c r="A190" s="369"/>
      <c r="B190" s="159" t="s">
        <v>218</v>
      </c>
      <c r="C190" s="163">
        <v>21</v>
      </c>
      <c r="D190" s="163" t="s">
        <v>966</v>
      </c>
      <c r="E190" s="159" t="s">
        <v>1185</v>
      </c>
      <c r="F190" s="159" t="s">
        <v>1149</v>
      </c>
      <c r="G190" s="159" t="s">
        <v>1186</v>
      </c>
      <c r="H190" s="159" t="s">
        <v>939</v>
      </c>
      <c r="I190" s="159"/>
      <c r="J190" s="159"/>
      <c r="K190" s="159"/>
      <c r="L190" s="159" t="s">
        <v>931</v>
      </c>
      <c r="M190" s="159"/>
      <c r="N190" s="159"/>
      <c r="O190" s="159"/>
      <c r="P190" s="157"/>
      <c r="Q190" s="157" t="s">
        <v>1263</v>
      </c>
    </row>
    <row r="191" spans="1:17">
      <c r="A191" s="369"/>
      <c r="B191" s="159" t="s">
        <v>219</v>
      </c>
      <c r="C191" s="163" t="s">
        <v>188</v>
      </c>
      <c r="D191" s="163" t="s">
        <v>966</v>
      </c>
      <c r="E191" s="159" t="s">
        <v>1178</v>
      </c>
      <c r="F191" s="159" t="s">
        <v>1187</v>
      </c>
      <c r="G191" s="159" t="s">
        <v>857</v>
      </c>
      <c r="H191" s="159" t="s">
        <v>939</v>
      </c>
      <c r="I191" s="159"/>
      <c r="J191" s="159"/>
      <c r="K191" s="159"/>
      <c r="L191" s="159"/>
      <c r="M191" s="159"/>
      <c r="N191" s="159"/>
      <c r="O191" s="159"/>
      <c r="P191" s="157"/>
      <c r="Q191" s="157" t="s">
        <v>1205</v>
      </c>
    </row>
    <row r="192" spans="1:17" ht="24">
      <c r="A192" s="369"/>
      <c r="B192" s="159" t="s">
        <v>220</v>
      </c>
      <c r="C192" s="163">
        <v>22</v>
      </c>
      <c r="D192" s="163" t="s">
        <v>954</v>
      </c>
      <c r="E192" s="159" t="s">
        <v>1188</v>
      </c>
      <c r="F192" s="159" t="s">
        <v>1189</v>
      </c>
      <c r="G192" s="159" t="s">
        <v>1104</v>
      </c>
      <c r="H192" s="159" t="s">
        <v>931</v>
      </c>
      <c r="I192" s="159"/>
      <c r="J192" s="159" t="s">
        <v>1216</v>
      </c>
      <c r="K192" s="159"/>
      <c r="L192" s="159" t="s">
        <v>930</v>
      </c>
      <c r="M192" s="159"/>
      <c r="N192" s="159"/>
      <c r="O192" s="159" t="s">
        <v>930</v>
      </c>
      <c r="P192" s="157"/>
      <c r="Q192" s="157" t="s">
        <v>1264</v>
      </c>
    </row>
    <row r="193" spans="1:17">
      <c r="A193" s="369"/>
      <c r="B193" s="159" t="s">
        <v>221</v>
      </c>
      <c r="C193" s="163">
        <v>23</v>
      </c>
      <c r="D193" s="163" t="s">
        <v>1067</v>
      </c>
      <c r="E193" s="159" t="s">
        <v>1190</v>
      </c>
      <c r="F193" s="159" t="s">
        <v>1191</v>
      </c>
      <c r="G193" s="159" t="s">
        <v>857</v>
      </c>
      <c r="H193" s="159"/>
      <c r="I193" s="159"/>
      <c r="J193" s="159"/>
      <c r="K193" s="159"/>
      <c r="L193" s="159"/>
      <c r="M193" s="159"/>
      <c r="N193" s="159"/>
      <c r="O193" s="159"/>
      <c r="Q193" s="157" t="s">
        <v>1206</v>
      </c>
    </row>
    <row r="194" spans="1:17">
      <c r="A194" s="369"/>
      <c r="B194" s="159" t="s">
        <v>222</v>
      </c>
      <c r="C194" s="163" t="s">
        <v>191</v>
      </c>
      <c r="D194" s="163" t="s">
        <v>966</v>
      </c>
      <c r="E194" s="159" t="s">
        <v>886</v>
      </c>
      <c r="F194" s="159" t="s">
        <v>1192</v>
      </c>
      <c r="G194" s="159" t="s">
        <v>909</v>
      </c>
      <c r="H194" s="159"/>
      <c r="I194" s="159" t="s">
        <v>931</v>
      </c>
      <c r="J194" s="159" t="s">
        <v>1215</v>
      </c>
      <c r="K194" s="159"/>
      <c r="L194" s="159" t="s">
        <v>930</v>
      </c>
      <c r="M194" s="159"/>
      <c r="N194" s="159"/>
      <c r="O194" s="159"/>
      <c r="P194" s="157" t="s">
        <v>1214</v>
      </c>
      <c r="Q194" s="157" t="s">
        <v>1207</v>
      </c>
    </row>
    <row r="195" spans="1:17" ht="24">
      <c r="A195" s="369"/>
      <c r="B195" s="159" t="s">
        <v>223</v>
      </c>
      <c r="C195" s="163">
        <v>24</v>
      </c>
      <c r="D195" s="163" t="s">
        <v>954</v>
      </c>
      <c r="E195" s="159" t="s">
        <v>1106</v>
      </c>
      <c r="F195" s="159" t="s">
        <v>1090</v>
      </c>
      <c r="G195" s="159" t="s">
        <v>1080</v>
      </c>
      <c r="H195" s="159" t="s">
        <v>930</v>
      </c>
      <c r="I195" s="159" t="s">
        <v>931</v>
      </c>
      <c r="J195" s="159" t="s">
        <v>485</v>
      </c>
      <c r="K195" s="159"/>
      <c r="L195" s="159" t="s">
        <v>930</v>
      </c>
      <c r="M195" s="159"/>
      <c r="N195" s="159"/>
      <c r="O195" s="159" t="s">
        <v>930</v>
      </c>
      <c r="P195" s="157"/>
      <c r="Q195" s="157" t="s">
        <v>1265</v>
      </c>
    </row>
    <row r="196" spans="1:17" ht="24">
      <c r="A196" s="369"/>
      <c r="B196" s="159" t="s">
        <v>224</v>
      </c>
      <c r="C196" s="163" t="s">
        <v>1145</v>
      </c>
      <c r="D196" s="163" t="s">
        <v>1067</v>
      </c>
      <c r="E196" s="159" t="s">
        <v>869</v>
      </c>
      <c r="F196" s="159" t="s">
        <v>1193</v>
      </c>
      <c r="G196" s="159" t="s">
        <v>876</v>
      </c>
      <c r="H196" s="159" t="s">
        <v>937</v>
      </c>
      <c r="I196" s="159"/>
      <c r="J196" s="159"/>
      <c r="K196" s="159"/>
      <c r="L196" s="159"/>
      <c r="M196" s="159"/>
      <c r="N196" s="159"/>
      <c r="O196" s="159"/>
      <c r="P196" s="157"/>
      <c r="Q196" s="157" t="s">
        <v>1266</v>
      </c>
    </row>
  </sheetData>
  <mergeCells count="51">
    <mergeCell ref="Q147:Q148"/>
    <mergeCell ref="B160:B161"/>
    <mergeCell ref="D160:D161"/>
    <mergeCell ref="E160:G160"/>
    <mergeCell ref="H160:N160"/>
    <mergeCell ref="O160:O161"/>
    <mergeCell ref="P160:P161"/>
    <mergeCell ref="Q160:Q161"/>
    <mergeCell ref="D147:D148"/>
    <mergeCell ref="E147:G147"/>
    <mergeCell ref="H147:N147"/>
    <mergeCell ref="O147:O148"/>
    <mergeCell ref="P147:P148"/>
    <mergeCell ref="A162:A165"/>
    <mergeCell ref="A160:A161"/>
    <mergeCell ref="C147:C148"/>
    <mergeCell ref="C160:C161"/>
    <mergeCell ref="A166:A196"/>
    <mergeCell ref="A31:A125"/>
    <mergeCell ref="A127:A145"/>
    <mergeCell ref="A147:A158"/>
    <mergeCell ref="B147:B148"/>
    <mergeCell ref="A29:Q29"/>
    <mergeCell ref="B127:B128"/>
    <mergeCell ref="D127:D128"/>
    <mergeCell ref="E127:G127"/>
    <mergeCell ref="H127:N127"/>
    <mergeCell ref="O127:O128"/>
    <mergeCell ref="P127:P128"/>
    <mergeCell ref="Q127:Q128"/>
    <mergeCell ref="C31:C32"/>
    <mergeCell ref="C127:C128"/>
    <mergeCell ref="A30:Q30"/>
    <mergeCell ref="B31:B32"/>
    <mergeCell ref="A5:A24"/>
    <mergeCell ref="O2:O3"/>
    <mergeCell ref="E2:G2"/>
    <mergeCell ref="H2:N2"/>
    <mergeCell ref="A1:Q1"/>
    <mergeCell ref="C2:C3"/>
    <mergeCell ref="Q2:Q3"/>
    <mergeCell ref="P2:P3"/>
    <mergeCell ref="D2:D3"/>
    <mergeCell ref="B2:B3"/>
    <mergeCell ref="A2:A3"/>
    <mergeCell ref="Q31:Q32"/>
    <mergeCell ref="D31:D32"/>
    <mergeCell ref="E31:G31"/>
    <mergeCell ref="H31:N31"/>
    <mergeCell ref="O31:O32"/>
    <mergeCell ref="P31:P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보성관동유적보고서계획(2022)</vt:lpstr>
      <vt:lpstr>보성관동유적(1-7구역)</vt:lpstr>
      <vt:lpstr>장흥평화리유적(1-8구역)</vt:lpstr>
      <vt:lpstr>Sheet1</vt:lpstr>
      <vt:lpstr>보성 우산리 현촌유적(1차)</vt:lpstr>
      <vt:lpstr>보성 우산리 현촌유적(2-4차)</vt:lpstr>
      <vt:lpstr>보성 택촌유적(1-2구역),두슬유적</vt:lpstr>
      <vt:lpstr>총합</vt:lpstr>
      <vt:lpstr>Sheet4(202506)</vt:lpstr>
      <vt:lpstr>Sheet4 (202507)</vt:lpstr>
      <vt:lpstr>철도구간보고서일정</vt:lpstr>
      <vt:lpstr>고찰준비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조유량</cp:lastModifiedBy>
  <cp:lastPrinted>2025-11-03T00:53:49Z</cp:lastPrinted>
  <dcterms:created xsi:type="dcterms:W3CDTF">2011-06-20T07:37:58Z</dcterms:created>
  <dcterms:modified xsi:type="dcterms:W3CDTF">2025-11-13T01:54:36Z</dcterms:modified>
</cp:coreProperties>
</file>